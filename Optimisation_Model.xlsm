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Apoorva\Documents\LUMS\MSCI502- Operational Research and Prescriptive Analytics\CourseWork\Optimisation Model\"/>
    </mc:Choice>
  </mc:AlternateContent>
  <xr:revisionPtr revIDLastSave="0" documentId="13_ncr:1_{893F45BE-EC90-4683-B2F7-6431F8BA810A}" xr6:coauthVersionLast="47" xr6:coauthVersionMax="47" xr10:uidLastSave="{00000000-0000-0000-0000-000000000000}"/>
  <bookViews>
    <workbookView xWindow="-98" yWindow="-98" windowWidth="23236" windowHeight="13875" activeTab="5" xr2:uid="{B6DCE256-A595-4530-B14F-35124838E689}"/>
  </bookViews>
  <sheets>
    <sheet name="User" sheetId="1" r:id="rId1"/>
    <sheet name="Data" sheetId="2" r:id="rId2"/>
    <sheet name="Inputs" sheetId="4" r:id="rId3"/>
    <sheet name="Model" sheetId="3" r:id="rId4"/>
    <sheet name="Outputs" sheetId="5" r:id="rId5"/>
    <sheet name="Calc" sheetId="6" r:id="rId6"/>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3" hidden="1">Model!$E$6:$J$6</definedName>
    <definedName name="solver_cvg" localSheetId="3" hidden="1">0.0001</definedName>
    <definedName name="solver_drv" localSheetId="3" hidden="1">1</definedName>
    <definedName name="solver_eng" localSheetId="3" hidden="1">2</definedName>
    <definedName name="solver_est" localSheetId="3" hidden="1">1</definedName>
    <definedName name="solver_itr" localSheetId="3" hidden="1">2147483647</definedName>
    <definedName name="solver_lhs1" localSheetId="3" hidden="1">Model!$K$11:$K$12</definedName>
    <definedName name="solver_lhs10" localSheetId="3" hidden="1">Model!$K$22:$K$27</definedName>
    <definedName name="solver_lhs11" localSheetId="3" hidden="1">Model!$K$22:$K$27</definedName>
    <definedName name="solver_lhs12" localSheetId="3" hidden="1">Model!$K$22:$K$27</definedName>
    <definedName name="solver_lhs13" localSheetId="3" hidden="1">Model!$K$22:$K$27</definedName>
    <definedName name="solver_lhs14" localSheetId="3" hidden="1">Model!$K$22:$K$27</definedName>
    <definedName name="solver_lhs15" localSheetId="3" hidden="1">Model!$K$22:$K$27</definedName>
    <definedName name="solver_lhs16" localSheetId="3" hidden="1">Model!$K$22:$K$27</definedName>
    <definedName name="solver_lhs17" localSheetId="3" hidden="1">Model!$K$22:$K$27</definedName>
    <definedName name="solver_lhs18" localSheetId="3" hidden="1">Model!$K$22:$K$27</definedName>
    <definedName name="solver_lhs19" localSheetId="3" hidden="1">Model!$K$22:$K$27</definedName>
    <definedName name="solver_lhs2" localSheetId="3" hidden="1">Model!$K$13:$K$15</definedName>
    <definedName name="solver_lhs20" localSheetId="3" hidden="1">Model!$K$22:$K$27</definedName>
    <definedName name="solver_lhs21" localSheetId="3" hidden="1">Model!$K$22:$K$27</definedName>
    <definedName name="solver_lhs22" localSheetId="3" hidden="1">Model!$K$22:$K$27</definedName>
    <definedName name="solver_lhs23" localSheetId="3" hidden="1">Model!$K$13:$K$15</definedName>
    <definedName name="solver_lhs24" localSheetId="3" hidden="1">Model!$K$11:$K$12</definedName>
    <definedName name="solver_lhs25" localSheetId="3" hidden="1">Model!$K$16:$K$21</definedName>
    <definedName name="solver_lhs26" localSheetId="3" hidden="1">Model!$K$22:$K$27</definedName>
    <definedName name="solver_lhs27" localSheetId="3" hidden="1">Model!$K$13:$K$15</definedName>
    <definedName name="solver_lhs28" localSheetId="3" hidden="1">Model!$K$11:$K$12</definedName>
    <definedName name="solver_lhs29" localSheetId="3" hidden="1">Model!$K$13:$K$15</definedName>
    <definedName name="solver_lhs3" localSheetId="3" hidden="1">Model!$K$16:$K$21</definedName>
    <definedName name="solver_lhs30" localSheetId="3" hidden="1">Model!$K$11:$K$12</definedName>
    <definedName name="solver_lhs31" localSheetId="3" hidden="1">Model!$K$11:$K$12</definedName>
    <definedName name="solver_lhs32" localSheetId="3" hidden="1">Model!$K$11:$K$12</definedName>
    <definedName name="solver_lhs33" localSheetId="3" hidden="1">Model!$K$15</definedName>
    <definedName name="solver_lhs34" localSheetId="3" hidden="1">Model!$K$16:$K$21</definedName>
    <definedName name="solver_lhs35" localSheetId="3" hidden="1">Model!$K$22:$K$27</definedName>
    <definedName name="solver_lhs36" localSheetId="3" hidden="1">Model!$K$11:$K$12</definedName>
    <definedName name="solver_lhs37" localSheetId="3" hidden="1">Model!$K$13:$K$14</definedName>
    <definedName name="solver_lhs38" localSheetId="3" hidden="1">Model!$K$15</definedName>
    <definedName name="solver_lhs39" localSheetId="3" hidden="1">Model!$K$16:$K$21</definedName>
    <definedName name="solver_lhs4" localSheetId="3" hidden="1">Model!$K$22:$K$27</definedName>
    <definedName name="solver_lhs40" localSheetId="3" hidden="1">Model!$K$22:$K$27</definedName>
    <definedName name="solver_lhs41" localSheetId="3" hidden="1">Model!$K$11:$K$12</definedName>
    <definedName name="solver_lhs42" localSheetId="3" hidden="1">Model!$K$13:$K$14</definedName>
    <definedName name="solver_lhs43" localSheetId="3" hidden="1">Model!$K$15</definedName>
    <definedName name="solver_lhs44" localSheetId="3" hidden="1">Model!$K$16:$K$21</definedName>
    <definedName name="solver_lhs45" localSheetId="3" hidden="1">Model!$K$22:$K$27</definedName>
    <definedName name="solver_lhs5" localSheetId="3" hidden="1">Model!$K$22:$K$27</definedName>
    <definedName name="solver_lhs6" localSheetId="3" hidden="1">Model!$K$22:$K$27</definedName>
    <definedName name="solver_lhs7" localSheetId="3" hidden="1">Model!$K$22:$K$27</definedName>
    <definedName name="solver_lhs8" localSheetId="3" hidden="1">Model!$K$22:$K$27</definedName>
    <definedName name="solver_lhs9" localSheetId="3" hidden="1">Model!$K$22:$K$27</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4</definedName>
    <definedName name="solver_nwt" localSheetId="3" hidden="1">1</definedName>
    <definedName name="solver_opt" localSheetId="3" hidden="1">Model!$L$7</definedName>
    <definedName name="solver_pre" localSheetId="3" hidden="1">0.000001</definedName>
    <definedName name="solver_rbv" localSheetId="3" hidden="1">1</definedName>
    <definedName name="solver_rel1" localSheetId="3" hidden="1">1</definedName>
    <definedName name="solver_rel10" localSheetId="3" hidden="1">3</definedName>
    <definedName name="solver_rel11" localSheetId="3" hidden="1">3</definedName>
    <definedName name="solver_rel12" localSheetId="3" hidden="1">3</definedName>
    <definedName name="solver_rel13" localSheetId="3" hidden="1">3</definedName>
    <definedName name="solver_rel14" localSheetId="3" hidden="1">3</definedName>
    <definedName name="solver_rel15" localSheetId="3" hidden="1">3</definedName>
    <definedName name="solver_rel16" localSheetId="3" hidden="1">3</definedName>
    <definedName name="solver_rel17" localSheetId="3" hidden="1">3</definedName>
    <definedName name="solver_rel18" localSheetId="3" hidden="1">3</definedName>
    <definedName name="solver_rel19" localSheetId="3" hidden="1">3</definedName>
    <definedName name="solver_rel2" localSheetId="3" hidden="1">3</definedName>
    <definedName name="solver_rel20" localSheetId="3" hidden="1">3</definedName>
    <definedName name="solver_rel21" localSheetId="3" hidden="1">3</definedName>
    <definedName name="solver_rel22" localSheetId="3" hidden="1">3</definedName>
    <definedName name="solver_rel23" localSheetId="3" hidden="1">3</definedName>
    <definedName name="solver_rel24" localSheetId="3" hidden="1">1</definedName>
    <definedName name="solver_rel25" localSheetId="3" hidden="1">1</definedName>
    <definedName name="solver_rel26" localSheetId="3" hidden="1">3</definedName>
    <definedName name="solver_rel27" localSheetId="3" hidden="1">3</definedName>
    <definedName name="solver_rel28" localSheetId="3" hidden="1">1</definedName>
    <definedName name="solver_rel29" localSheetId="3" hidden="1">3</definedName>
    <definedName name="solver_rel3" localSheetId="3" hidden="1">1</definedName>
    <definedName name="solver_rel30" localSheetId="3" hidden="1">1</definedName>
    <definedName name="solver_rel31" localSheetId="3" hidden="1">1</definedName>
    <definedName name="solver_rel32" localSheetId="3" hidden="1">1</definedName>
    <definedName name="solver_rel33" localSheetId="3" hidden="1">2</definedName>
    <definedName name="solver_rel34" localSheetId="3" hidden="1">1</definedName>
    <definedName name="solver_rel35" localSheetId="3" hidden="1">3</definedName>
    <definedName name="solver_rel36" localSheetId="3" hidden="1">1</definedName>
    <definedName name="solver_rel37" localSheetId="3" hidden="1">3</definedName>
    <definedName name="solver_rel38" localSheetId="3" hidden="1">2</definedName>
    <definedName name="solver_rel39" localSheetId="3" hidden="1">1</definedName>
    <definedName name="solver_rel4" localSheetId="3" hidden="1">3</definedName>
    <definedName name="solver_rel40" localSheetId="3" hidden="1">3</definedName>
    <definedName name="solver_rel41" localSheetId="3" hidden="1">1</definedName>
    <definedName name="solver_rel42" localSheetId="3" hidden="1">3</definedName>
    <definedName name="solver_rel43" localSheetId="3" hidden="1">2</definedName>
    <definedName name="solver_rel44" localSheetId="3" hidden="1">1</definedName>
    <definedName name="solver_rel45" localSheetId="3" hidden="1">3</definedName>
    <definedName name="solver_rel5" localSheetId="3" hidden="1">3</definedName>
    <definedName name="solver_rel6" localSheetId="3" hidden="1">3</definedName>
    <definedName name="solver_rel7" localSheetId="3" hidden="1">3</definedName>
    <definedName name="solver_rel8" localSheetId="3" hidden="1">3</definedName>
    <definedName name="solver_rel9" localSheetId="3" hidden="1">3</definedName>
    <definedName name="solver_rhs1" localSheetId="3" hidden="1">Model!$M$11:$M$12</definedName>
    <definedName name="solver_rhs10" localSheetId="3" hidden="1">Model!$M$22:$M$27</definedName>
    <definedName name="solver_rhs11" localSheetId="3" hidden="1">Model!$M$22:$M$27</definedName>
    <definedName name="solver_rhs12" localSheetId="3" hidden="1">Model!$M$22:$M$27</definedName>
    <definedName name="solver_rhs13" localSheetId="3" hidden="1">Model!$M$22:$M$27</definedName>
    <definedName name="solver_rhs14" localSheetId="3" hidden="1">Model!$M$22:$M$27</definedName>
    <definedName name="solver_rhs15" localSheetId="3" hidden="1">Model!$M$22:$M$27</definedName>
    <definedName name="solver_rhs16" localSheetId="3" hidden="1">Model!$M$22:$M$27</definedName>
    <definedName name="solver_rhs17" localSheetId="3" hidden="1">Model!$M$22:$M$27</definedName>
    <definedName name="solver_rhs18" localSheetId="3" hidden="1">Model!$M$22:$M$27</definedName>
    <definedName name="solver_rhs19" localSheetId="3" hidden="1">Model!$M$22:$M$27</definedName>
    <definedName name="solver_rhs2" localSheetId="3" hidden="1">Model!$M$13:$M$15</definedName>
    <definedName name="solver_rhs20" localSheetId="3" hidden="1">Model!$M$22:$M$27</definedName>
    <definedName name="solver_rhs21" localSheetId="3" hidden="1">Model!$M$22:$M$27</definedName>
    <definedName name="solver_rhs22" localSheetId="3" hidden="1">Model!$M$22:$M$27</definedName>
    <definedName name="solver_rhs23" localSheetId="3" hidden="1">Model!$M$13:$M$15</definedName>
    <definedName name="solver_rhs24" localSheetId="3" hidden="1">Model!$M$11:$M$12</definedName>
    <definedName name="solver_rhs25" localSheetId="3" hidden="1">Model!$M$16:$M$21</definedName>
    <definedName name="solver_rhs26" localSheetId="3" hidden="1">Model!$M$22:$M$27</definedName>
    <definedName name="solver_rhs27" localSheetId="3" hidden="1">Model!$M$13:$M$15</definedName>
    <definedName name="solver_rhs28" localSheetId="3" hidden="1">Model!$M$11:$M$12</definedName>
    <definedName name="solver_rhs29" localSheetId="3" hidden="1">Model!$M$13:$M$15</definedName>
    <definedName name="solver_rhs3" localSheetId="3" hidden="1">Model!$M$16:$M$21</definedName>
    <definedName name="solver_rhs30" localSheetId="3" hidden="1">Model!$M$11:$M$12</definedName>
    <definedName name="solver_rhs31" localSheetId="3" hidden="1">Model!$M$11:$M$12</definedName>
    <definedName name="solver_rhs32" localSheetId="3" hidden="1">Model!$M$11:$M$12</definedName>
    <definedName name="solver_rhs33" localSheetId="3" hidden="1">Model!$M$15</definedName>
    <definedName name="solver_rhs34" localSheetId="3" hidden="1">Model!$M$16:$M$21</definedName>
    <definedName name="solver_rhs35" localSheetId="3" hidden="1">Model!$M$22:$M$27</definedName>
    <definedName name="solver_rhs36" localSheetId="3" hidden="1">Model!$M$11:$M$12</definedName>
    <definedName name="solver_rhs37" localSheetId="3" hidden="1">Model!$M$13:$M$14</definedName>
    <definedName name="solver_rhs38" localSheetId="3" hidden="1">Model!$M$15</definedName>
    <definedName name="solver_rhs39" localSheetId="3" hidden="1">Model!$M$16:$M$21</definedName>
    <definedName name="solver_rhs4" localSheetId="3" hidden="1">Model!$M$22:$M$27</definedName>
    <definedName name="solver_rhs40" localSheetId="3" hidden="1">Model!$M$22:$M$27</definedName>
    <definedName name="solver_rhs41" localSheetId="3" hidden="1">Model!$M$11:$M$12</definedName>
    <definedName name="solver_rhs42" localSheetId="3" hidden="1">Model!$M$13:$M$14</definedName>
    <definedName name="solver_rhs43" localSheetId="3" hidden="1">Model!$M$15</definedName>
    <definedName name="solver_rhs44" localSheetId="3" hidden="1">Model!$M$16:$M$21</definedName>
    <definedName name="solver_rhs45" localSheetId="3" hidden="1">Model!$M$22:$M$27</definedName>
    <definedName name="solver_rhs5" localSheetId="3" hidden="1">Model!$M$22:$M$27</definedName>
    <definedName name="solver_rhs6" localSheetId="3" hidden="1">Model!$M$22:$M$27</definedName>
    <definedName name="solver_rhs7" localSheetId="3" hidden="1">Model!$M$22:$M$27</definedName>
    <definedName name="solver_rhs8" localSheetId="3" hidden="1">Model!$M$22:$M$27</definedName>
    <definedName name="solver_rhs9" localSheetId="3" hidden="1">Model!$M$22:$M$27</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2</definedName>
    <definedName name="solver_val" localSheetId="3" hidden="1">0</definedName>
    <definedName name="solver_ver" localSheetId="3"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5" i="5" l="1"/>
  <c r="F23" i="5"/>
  <c r="F21" i="5"/>
  <c r="F19" i="5"/>
  <c r="F17" i="5"/>
  <c r="F15" i="5"/>
  <c r="K14" i="3"/>
  <c r="I7" i="4"/>
  <c r="S7" i="4" l="1"/>
  <c r="J7" i="3" s="1"/>
  <c r="R7" i="4"/>
  <c r="I7" i="3" s="1"/>
  <c r="Q7" i="4"/>
  <c r="H7" i="3" s="1"/>
  <c r="S6" i="4"/>
  <c r="E20" i="6" s="1"/>
  <c r="R6" i="4"/>
  <c r="F7" i="3" s="1"/>
  <c r="Q6" i="4"/>
  <c r="E7" i="3" s="1"/>
  <c r="C8" i="6"/>
  <c r="D8" i="6" s="1"/>
  <c r="C9" i="6"/>
  <c r="D9" i="6" s="1"/>
  <c r="C10" i="6"/>
  <c r="D10" i="6" s="1"/>
  <c r="E10" i="6" s="1"/>
  <c r="C11" i="6"/>
  <c r="D11" i="6" s="1"/>
  <c r="E11" i="6" s="1"/>
  <c r="C12" i="6"/>
  <c r="D12" i="6" s="1"/>
  <c r="E12" i="6" s="1"/>
  <c r="C13" i="6"/>
  <c r="D13" i="6" s="1"/>
  <c r="E13" i="6" s="1"/>
  <c r="C14" i="6"/>
  <c r="D14" i="6" s="1"/>
  <c r="C15" i="6"/>
  <c r="D15" i="6" s="1"/>
  <c r="C16" i="6"/>
  <c r="D16" i="6" s="1"/>
  <c r="F16" i="6" s="1"/>
  <c r="C17" i="6"/>
  <c r="D17" i="6" s="1"/>
  <c r="F17" i="6" s="1"/>
  <c r="C18" i="6"/>
  <c r="D18" i="6" s="1"/>
  <c r="C19" i="6"/>
  <c r="D19" i="6" s="1"/>
  <c r="F19" i="6" s="1"/>
  <c r="C20" i="6"/>
  <c r="D20" i="6" s="1"/>
  <c r="F20" i="6" s="1"/>
  <c r="C21" i="6"/>
  <c r="D21" i="6" s="1"/>
  <c r="C22" i="6"/>
  <c r="D22" i="6" s="1"/>
  <c r="C23" i="6"/>
  <c r="D23" i="6" s="1"/>
  <c r="F23" i="6" s="1"/>
  <c r="C24" i="6"/>
  <c r="D24" i="6" s="1"/>
  <c r="C25" i="6"/>
  <c r="D25" i="6" s="1"/>
  <c r="C26" i="6"/>
  <c r="D26" i="6" s="1"/>
  <c r="E26" i="6" s="1"/>
  <c r="C27" i="6"/>
  <c r="D27" i="6" s="1"/>
  <c r="E27" i="6" s="1"/>
  <c r="C28" i="6"/>
  <c r="D28" i="6" s="1"/>
  <c r="E28" i="6" s="1"/>
  <c r="C29" i="6"/>
  <c r="D29" i="6" s="1"/>
  <c r="E29" i="6" s="1"/>
  <c r="C30" i="6"/>
  <c r="D30" i="6" s="1"/>
  <c r="C31" i="6"/>
  <c r="D31" i="6" s="1"/>
  <c r="C32" i="6"/>
  <c r="D32" i="6" s="1"/>
  <c r="F32" i="6" s="1"/>
  <c r="C33" i="6"/>
  <c r="D33" i="6" s="1"/>
  <c r="F33" i="6" s="1"/>
  <c r="C34" i="6"/>
  <c r="D34" i="6" s="1"/>
  <c r="F34" i="6" s="1"/>
  <c r="C35" i="6"/>
  <c r="D35" i="6" s="1"/>
  <c r="F35" i="6" s="1"/>
  <c r="C36" i="6"/>
  <c r="D36" i="6" s="1"/>
  <c r="F36" i="6" s="1"/>
  <c r="C37" i="6"/>
  <c r="D37" i="6" s="1"/>
  <c r="C38" i="6"/>
  <c r="D38" i="6" s="1"/>
  <c r="C39" i="6"/>
  <c r="D39" i="6" s="1"/>
  <c r="F39" i="6" s="1"/>
  <c r="C40" i="6"/>
  <c r="D40" i="6" s="1"/>
  <c r="C41" i="6"/>
  <c r="D41" i="6" s="1"/>
  <c r="C42" i="6"/>
  <c r="D42" i="6" s="1"/>
  <c r="E42" i="6" s="1"/>
  <c r="C7" i="6"/>
  <c r="B6" i="6" a="1"/>
  <c r="B6" i="6" s="1"/>
  <c r="A6" i="6" a="1"/>
  <c r="A6" i="6" s="1"/>
  <c r="K27" i="3"/>
  <c r="K26" i="3"/>
  <c r="K25" i="3"/>
  <c r="K24" i="3"/>
  <c r="K23" i="3"/>
  <c r="K22" i="3"/>
  <c r="M7" i="4"/>
  <c r="M23" i="3" s="1"/>
  <c r="N7" i="4"/>
  <c r="M17" i="3" s="1"/>
  <c r="D7" i="4"/>
  <c r="M12" i="3" s="1"/>
  <c r="C7" i="4"/>
  <c r="M11" i="3" s="1"/>
  <c r="H7" i="4"/>
  <c r="M14" i="3" s="1"/>
  <c r="G7" i="4"/>
  <c r="E18" i="6" l="1"/>
  <c r="G7" i="3"/>
  <c r="F9" i="5" s="1"/>
  <c r="E31" i="6"/>
  <c r="E15" i="6"/>
  <c r="M25" i="3"/>
  <c r="E30" i="6"/>
  <c r="E14" i="6"/>
  <c r="M13" i="3"/>
  <c r="J7" i="4"/>
  <c r="M15" i="3" s="1"/>
  <c r="F33" i="5" s="1"/>
  <c r="E35" i="6"/>
  <c r="B3" i="6"/>
  <c r="E34" i="6"/>
  <c r="E32" i="6"/>
  <c r="E19" i="6"/>
  <c r="F18" i="6"/>
  <c r="D7" i="6"/>
  <c r="E7" i="6" s="1"/>
  <c r="F8" i="6"/>
  <c r="E16" i="6"/>
  <c r="F38" i="6"/>
  <c r="F22" i="6"/>
  <c r="E33" i="6"/>
  <c r="E17" i="6"/>
  <c r="F37" i="6"/>
  <c r="F21" i="6"/>
  <c r="F31" i="6"/>
  <c r="E41" i="6"/>
  <c r="E25" i="6"/>
  <c r="E9" i="6"/>
  <c r="F29" i="6"/>
  <c r="F13" i="6"/>
  <c r="E40" i="6"/>
  <c r="E24" i="6"/>
  <c r="E8" i="6"/>
  <c r="F28" i="6"/>
  <c r="F12" i="6"/>
  <c r="F7" i="5"/>
  <c r="E39" i="6"/>
  <c r="E23" i="6"/>
  <c r="F7" i="6"/>
  <c r="F27" i="6"/>
  <c r="F11" i="6"/>
  <c r="E38" i="6"/>
  <c r="E22" i="6"/>
  <c r="F42" i="6"/>
  <c r="F26" i="6"/>
  <c r="F10" i="6"/>
  <c r="F15" i="6"/>
  <c r="E37" i="6"/>
  <c r="E21" i="6"/>
  <c r="F41" i="6"/>
  <c r="F25" i="6"/>
  <c r="F9" i="6"/>
  <c r="F30" i="6"/>
  <c r="F14" i="6"/>
  <c r="E36" i="6"/>
  <c r="F40" i="6"/>
  <c r="F24" i="6"/>
  <c r="M22" i="3"/>
  <c r="M27" i="3"/>
  <c r="M26" i="3"/>
  <c r="M24" i="3"/>
  <c r="M16" i="3"/>
  <c r="M21" i="3"/>
  <c r="M20" i="3"/>
  <c r="M19" i="3"/>
  <c r="M18" i="3"/>
  <c r="K12" i="3"/>
  <c r="F13" i="5" s="1"/>
  <c r="K11" i="3"/>
  <c r="F11" i="5" s="1"/>
  <c r="K21" i="3"/>
  <c r="K20" i="3"/>
  <c r="K19" i="3"/>
  <c r="K18" i="3"/>
  <c r="K17" i="3"/>
  <c r="K16" i="3"/>
  <c r="K15" i="3"/>
  <c r="K13" i="3"/>
  <c r="F3" i="6" l="1"/>
  <c r="E3" i="6"/>
  <c r="F27" i="5"/>
  <c r="F29" i="5"/>
  <c r="F31" i="5"/>
  <c r="L7" i="3"/>
  <c r="F5"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<sst xmlns="http://schemas.openxmlformats.org/spreadsheetml/2006/main" count="155" uniqueCount="113">
  <si>
    <t>Part A</t>
  </si>
  <si>
    <t>Black - Abbey</t>
  </si>
  <si>
    <t>Black - Barn</t>
  </si>
  <si>
    <t>Black - Cobb</t>
  </si>
  <si>
    <t>Fleet - Abbey</t>
  </si>
  <si>
    <t>Fleet - Barn</t>
  </si>
  <si>
    <t>Fleet - Cobb</t>
  </si>
  <si>
    <t>Amounts transported from plants to warehouses (in whole cases)</t>
  </si>
  <si>
    <t>Minimum distribution cost</t>
  </si>
  <si>
    <t>How many cases are leftover to sell in the local market?</t>
  </si>
  <si>
    <r>
      <t>Values for X, Y, A, B, C, D, E, F, M, k</t>
    </r>
    <r>
      <rPr>
        <b/>
        <vertAlign val="subscript"/>
        <sz val="11"/>
        <color theme="1"/>
        <rFont val="Calibri"/>
        <family val="2"/>
        <scheme val="minor"/>
      </rPr>
      <t>1</t>
    </r>
    <r>
      <rPr>
        <b/>
        <sz val="11"/>
        <color theme="1"/>
        <rFont val="Calibri"/>
        <family val="2"/>
        <scheme val="minor"/>
      </rPr>
      <t>, k</t>
    </r>
    <r>
      <rPr>
        <b/>
        <vertAlign val="subscript"/>
        <sz val="11"/>
        <color theme="1"/>
        <rFont val="Calibri"/>
        <family val="2"/>
        <scheme val="minor"/>
      </rPr>
      <t>2</t>
    </r>
    <r>
      <rPr>
        <b/>
        <sz val="11"/>
        <color theme="1"/>
        <rFont val="Calibri"/>
        <family val="2"/>
        <scheme val="minor"/>
      </rPr>
      <t>, k</t>
    </r>
    <r>
      <rPr>
        <b/>
        <vertAlign val="subscript"/>
        <sz val="11"/>
        <color theme="1"/>
        <rFont val="Calibri"/>
        <family val="2"/>
        <scheme val="minor"/>
      </rPr>
      <t>3</t>
    </r>
    <r>
      <rPr>
        <b/>
        <sz val="11"/>
        <color theme="1"/>
        <rFont val="Calibri"/>
        <family val="2"/>
        <scheme val="minor"/>
      </rPr>
      <t>, k</t>
    </r>
    <r>
      <rPr>
        <b/>
        <vertAlign val="subscript"/>
        <sz val="11"/>
        <color theme="1"/>
        <rFont val="Calibri"/>
        <family val="2"/>
        <scheme val="minor"/>
      </rPr>
      <t>4</t>
    </r>
    <r>
      <rPr>
        <b/>
        <sz val="11"/>
        <color theme="1"/>
        <rFont val="Calibri"/>
        <family val="2"/>
        <scheme val="minor"/>
      </rPr>
      <t>, k</t>
    </r>
    <r>
      <rPr>
        <b/>
        <vertAlign val="subscript"/>
        <sz val="11"/>
        <color theme="1"/>
        <rFont val="Calibri"/>
        <family val="2"/>
        <scheme val="minor"/>
      </rPr>
      <t>5</t>
    </r>
    <r>
      <rPr>
        <b/>
        <sz val="11"/>
        <color theme="1"/>
        <rFont val="Calibri"/>
        <family val="2"/>
        <scheme val="minor"/>
      </rPr>
      <t>, and k</t>
    </r>
    <r>
      <rPr>
        <b/>
        <vertAlign val="subscript"/>
        <sz val="11"/>
        <color theme="1"/>
        <rFont val="Calibri"/>
        <family val="2"/>
        <scheme val="minor"/>
      </rPr>
      <t>6</t>
    </r>
  </si>
  <si>
    <t>Which port will they be sold in?</t>
  </si>
  <si>
    <t>X</t>
  </si>
  <si>
    <r>
      <t>k</t>
    </r>
    <r>
      <rPr>
        <vertAlign val="subscript"/>
        <sz val="11"/>
        <color theme="1"/>
        <rFont val="Calibri"/>
        <family val="2"/>
        <scheme val="minor"/>
      </rPr>
      <t>1</t>
    </r>
  </si>
  <si>
    <t>E</t>
  </si>
  <si>
    <t>Distribution costs from Black</t>
  </si>
  <si>
    <t>Y</t>
  </si>
  <si>
    <r>
      <t>k</t>
    </r>
    <r>
      <rPr>
        <vertAlign val="subscript"/>
        <sz val="11"/>
        <color theme="1"/>
        <rFont val="Calibri"/>
        <family val="2"/>
        <scheme val="minor"/>
      </rPr>
      <t>2</t>
    </r>
  </si>
  <si>
    <t>F</t>
  </si>
  <si>
    <t>Distribution costs from Fleet</t>
  </si>
  <si>
    <t>A</t>
  </si>
  <si>
    <r>
      <t>k</t>
    </r>
    <r>
      <rPr>
        <vertAlign val="subscript"/>
        <sz val="11"/>
        <color theme="1"/>
        <rFont val="Calibri"/>
        <family val="2"/>
        <scheme val="minor"/>
      </rPr>
      <t>3</t>
    </r>
  </si>
  <si>
    <t>M</t>
  </si>
  <si>
    <t>Increased demand at Abbey - new minimum cost</t>
  </si>
  <si>
    <t>B</t>
  </si>
  <si>
    <r>
      <t>k</t>
    </r>
    <r>
      <rPr>
        <vertAlign val="subscript"/>
        <sz val="11"/>
        <color theme="1"/>
        <rFont val="Calibri"/>
        <family val="2"/>
        <scheme val="minor"/>
      </rPr>
      <t>4</t>
    </r>
  </si>
  <si>
    <t>C</t>
  </si>
  <si>
    <r>
      <t>k</t>
    </r>
    <r>
      <rPr>
        <vertAlign val="subscript"/>
        <sz val="11"/>
        <color theme="1"/>
        <rFont val="Calibri"/>
        <family val="2"/>
        <scheme val="minor"/>
      </rPr>
      <t>5</t>
    </r>
  </si>
  <si>
    <t>Increased demand at Barn - new minimum cost</t>
  </si>
  <si>
    <t>D</t>
  </si>
  <si>
    <r>
      <t>k</t>
    </r>
    <r>
      <rPr>
        <vertAlign val="subscript"/>
        <sz val="11"/>
        <color theme="1"/>
        <rFont val="Calibri"/>
        <family val="2"/>
        <scheme val="minor"/>
      </rPr>
      <t>6</t>
    </r>
  </si>
  <si>
    <t>Increased demand at Abbey and Barn - new minimum cost</t>
  </si>
  <si>
    <t>Minimum distribution cost when two journeys are allowed</t>
  </si>
  <si>
    <t>Costs of distribution if Black is closed</t>
  </si>
  <si>
    <t>low demand:</t>
  </si>
  <si>
    <t>high demand:</t>
  </si>
  <si>
    <t>Costs of distribution if Fleet is closed</t>
  </si>
  <si>
    <t>Comment in the box below</t>
  </si>
  <si>
    <t>Part B</t>
  </si>
  <si>
    <t>Supply</t>
  </si>
  <si>
    <t>Demand</t>
  </si>
  <si>
    <t>year</t>
  </si>
  <si>
    <t>month</t>
  </si>
  <si>
    <t>Black</t>
  </si>
  <si>
    <t>Fleet</t>
  </si>
  <si>
    <t>Abbey</t>
  </si>
  <si>
    <t>Barn</t>
  </si>
  <si>
    <t>Cobb</t>
  </si>
  <si>
    <t xml:space="preserve">Decision Variables:  </t>
  </si>
  <si>
    <t>Z</t>
  </si>
  <si>
    <t>Values:</t>
  </si>
  <si>
    <t>Objective function:</t>
  </si>
  <si>
    <t>Min:</t>
  </si>
  <si>
    <t>Constraints</t>
  </si>
  <si>
    <t>Coefficients</t>
  </si>
  <si>
    <t>RHS</t>
  </si>
  <si>
    <t>&lt;=</t>
  </si>
  <si>
    <t xml:space="preserve">Transportation cost at Black </t>
  </si>
  <si>
    <t>Transportation cost at Fleet</t>
  </si>
  <si>
    <t>Leftover cases sold in Fleet</t>
  </si>
  <si>
    <t>Leftover cases sold in Black</t>
  </si>
  <si>
    <t>Cases to be sold locally</t>
  </si>
  <si>
    <t>BirdsEye Model</t>
  </si>
  <si>
    <t>Result</t>
  </si>
  <si>
    <t>Supply from Plants</t>
  </si>
  <si>
    <t>Demand of warehouses</t>
  </si>
  <si>
    <t>Vehicle Capacity</t>
  </si>
  <si>
    <t>Minimum</t>
  </si>
  <si>
    <t>Maximum</t>
  </si>
  <si>
    <t>Max vehicle capacity from Fleet to Abbey</t>
  </si>
  <si>
    <t>Max vehicle capacity from Fleet to Barn</t>
  </si>
  <si>
    <t>Max vehicle capacity from Fleet to Cobb</t>
  </si>
  <si>
    <t>Max vehicle capacity from Black to Abbey</t>
  </si>
  <si>
    <t>Max vehicle capacity from Black to Barn</t>
  </si>
  <si>
    <t>Max vehicle capacity from Black to Cobb</t>
  </si>
  <si>
    <t>Min vehicle capacity from Fleet to Abbey</t>
  </si>
  <si>
    <t>Min vehicle capacity from Fleet to Barn</t>
  </si>
  <si>
    <t>Min vehicle capacity from Fleet to Cobb</t>
  </si>
  <si>
    <t>Min vehicle capacity from Black to Abbey</t>
  </si>
  <si>
    <t>Min vehicle capacity from Black to Barn</t>
  </si>
  <si>
    <t>Min vehicle capacity from Black to Cobb</t>
  </si>
  <si>
    <t>Total demand of Abbey</t>
  </si>
  <si>
    <t xml:space="preserve">Total demand of Barn </t>
  </si>
  <si>
    <t>Total demand of Cobb</t>
  </si>
  <si>
    <t>Total supply from Fleet</t>
  </si>
  <si>
    <t>Total supply from Black</t>
  </si>
  <si>
    <t>&gt;=</t>
  </si>
  <si>
    <t>Make selections based on conditions</t>
  </si>
  <si>
    <t xml:space="preserve">  </t>
  </si>
  <si>
    <t>Radio button selection cell</t>
  </si>
  <si>
    <t>Cobb's shortage</t>
  </si>
  <si>
    <t>Cobb's demand fulfilled?</t>
  </si>
  <si>
    <t>Transportation cost from Fleet to Cobb</t>
  </si>
  <si>
    <t>Transportation cost from Black to Cobb</t>
  </si>
  <si>
    <t>Transportation Cost</t>
  </si>
  <si>
    <t>Total:</t>
  </si>
  <si>
    <t>Fleet to Cobb</t>
  </si>
  <si>
    <t>Black to Cobb</t>
  </si>
  <si>
    <t>Total transportation cost</t>
  </si>
  <si>
    <t>Total supplied from Fleet</t>
  </si>
  <si>
    <t>Total supplied from Black</t>
  </si>
  <si>
    <t>Shortage at Cobb</t>
  </si>
  <si>
    <t>Cobb(original)</t>
  </si>
  <si>
    <t>Cobb(feasible)</t>
  </si>
  <si>
    <t>% of times Cobb's demand not fulfilled</t>
  </si>
  <si>
    <t>Total transported from Black to Abbey</t>
  </si>
  <si>
    <t>Total transported from Black to Barn</t>
  </si>
  <si>
    <t>Total transported from Black to Cobb</t>
  </si>
  <si>
    <t>Total transported from Fleet to Abbey</t>
  </si>
  <si>
    <t>Total transported from Fleet to Barn</t>
  </si>
  <si>
    <t>Total transported from Fleet to Cobb</t>
  </si>
  <si>
    <t>Based on the historical data from the "Data" sheet some calculations have been done in the "Calc" sheet to validate the claim of the Cobb warehouse's manager. On calculating the number of days when Cobb's demand was not fulfilled it turns out to be 50%. So, the claim of Cobb's manager is not completely true as he says that Cobb is short of fish more than half of the time whereas it is just half of the time when Cobb is short of fish. If Cobb had been supplied all the fish they requested during this period then the supply would have either gone from Fleet or from Black. So we have calculated the cost for each month for both plants. Since the rate of transport from Black to Cobb is lesser than the rate of transport from Fleet to Cobb, the overall increase in the distribution cost would be lesser if the supply is from Black to Cobb (as calculated in the "Calc" sheet).</t>
  </si>
  <si>
    <t>No, I don't think closing a plant would be a good idea. This is because the distribution cost when both the plants are operating and demand is low is lesser than the distribution cost when either of the plants is closed and demand is low. Similarly, the distribution cost when both the plants are operating and demand is high is lesser than the distribution cost when either of the plants is closed and demand is high. So, in both low and high demand working of both the plants produces minimum cost. If it is mandatory to close any of the one plants then closing Fleet would give better results and lesser distribution cost than closing Black (on the basis of calculation).
Relaxing the vehicle trip constraint helps to meet the increased demands with less difference in overall distribution cost because with the journey restricted to only one we couldn't fulfil the demands of the warehouses even though we had enough supplies. When the journey constraint is relaxed we can supply cases from the plant whose transportation cost to the specific warehouse is lesser. This helps in selecting the minimum rates for transportation resulting in minimal distribution cost. So, relaxing the vehicle constraint has a big influence on costs. The practical issue associated with changing the number of trips is the time taken in transportation. The time will increase if the entire demand is fulfilled by one plant instead of the supply coming from both plants simultaneously. Also, if demand is less and can be completed with one journey then we don't need another journey as the second journey would only increase overall distribution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</si>
</sst>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5" x14ac:knownFonts="1">
    <font>
      <sz val="11"/>
      <color theme="1"/>
      <name val="Calibri"/>
      <family val="2"/>
      <scheme val="minor"/>
    </font>
    <font>
      <b/>
      <sz val="11"/>
      <color theme="1"/>
      <name val="Calibri"/>
      <family val="2"/>
      <scheme val="minor"/>
    </font>
    <font>
      <sz val="10"/>
      <name val="Arial"/>
      <family val="2"/>
    </font>
    <font>
      <b/>
      <sz val="10"/>
      <name val="Arial"/>
      <family val="2"/>
    </font>
    <font>
      <b/>
      <i/>
      <sz val="10"/>
      <name val="Arial"/>
      <family val="2"/>
    </font>
    <font>
      <b/>
      <vertAlign val="subscript"/>
      <sz val="11"/>
      <color theme="1"/>
      <name val="Calibri"/>
      <family val="2"/>
      <scheme val="minor"/>
    </font>
    <font>
      <vertAlign val="subscript"/>
      <sz val="11"/>
      <color theme="1"/>
      <name val="Calibri"/>
      <family val="2"/>
      <scheme val="minor"/>
    </font>
    <font>
      <b/>
      <i/>
      <sz val="11"/>
      <color theme="1"/>
      <name val="Calibri"/>
      <family val="2"/>
      <scheme val="minor"/>
    </font>
    <font>
      <sz val="8"/>
      <color rgb="FF000000"/>
      <name val="Segoe UI"/>
      <family val="2"/>
    </font>
    <font>
      <sz val="11"/>
      <name val="Calibri"/>
      <family val="2"/>
      <scheme val="minor"/>
    </font>
    <font>
      <sz val="22"/>
      <color theme="1"/>
      <name val="Calibri"/>
      <family val="2"/>
      <scheme val="minor"/>
    </font>
    <font>
      <sz val="14"/>
      <color theme="1"/>
      <name val="Calibri"/>
      <family val="2"/>
      <scheme val="minor"/>
    </font>
    <font>
      <sz val="12"/>
      <color theme="1"/>
      <name val="Calibri"/>
      <family val="2"/>
      <scheme val="minor"/>
    </font>
    <font>
      <sz val="14"/>
      <color rgb="FF000000"/>
      <name val="Calibri"/>
      <family val="2"/>
    </font>
    <font>
      <i/>
      <sz val="11"/>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5" tint="0.79998168889431442"/>
        <bgColor indexed="64"/>
      </patternFill>
    </fill>
    <fill>
      <patternFill patternType="solid">
        <fgColor rgb="FFCC99FF"/>
        <bgColor indexed="64"/>
      </patternFill>
    </fill>
    <fill>
      <patternFill patternType="solid">
        <fgColor theme="9" tint="0.79998168889431442"/>
        <bgColor indexed="64"/>
      </patternFill>
    </fill>
    <fill>
      <patternFill patternType="solid">
        <fgColor theme="3"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31">
    <xf numFmtId="0" fontId="0" fillId="0" borderId="0" xfId="0"/>
    <xf numFmtId="0" fontId="0" fillId="2" borderId="0" xfId="0" applyFill="1"/>
    <xf numFmtId="0" fontId="2" fillId="2" borderId="0" xfId="0" applyFont="1" applyFill="1"/>
    <xf numFmtId="0" fontId="3" fillId="2" borderId="0" xfId="0" applyFont="1" applyFill="1" applyAlignment="1">
      <alignment horizontal="right"/>
    </xf>
    <xf numFmtId="0" fontId="1" fillId="2" borderId="0" xfId="0" applyFont="1" applyFill="1" applyAlignment="1">
      <alignment horizontal="left"/>
    </xf>
    <xf numFmtId="0" fontId="3" fillId="2" borderId="0" xfId="0" applyFont="1" applyFill="1" applyAlignment="1">
      <alignment horizontal="center"/>
    </xf>
    <xf numFmtId="0" fontId="1" fillId="2" borderId="0" xfId="0" applyFont="1" applyFill="1" applyAlignment="1">
      <alignment horizontal="center"/>
    </xf>
    <xf numFmtId="0" fontId="0" fillId="2" borderId="0" xfId="0" applyFill="1" applyAlignment="1">
      <alignment horizontal="center"/>
    </xf>
    <xf numFmtId="0" fontId="0" fillId="2" borderId="0" xfId="0" applyFill="1" applyAlignment="1">
      <alignment horizontal="right"/>
    </xf>
    <xf numFmtId="0" fontId="4" fillId="2" borderId="0" xfId="0" applyFont="1" applyFill="1" applyAlignment="1">
      <alignment horizontal="left"/>
    </xf>
    <xf numFmtId="0" fontId="0" fillId="0" borderId="1" xfId="0" applyBorder="1"/>
    <xf numFmtId="0" fontId="1" fillId="2" borderId="0" xfId="0" applyFont="1" applyFill="1"/>
    <xf numFmtId="0" fontId="0" fillId="3" borderId="2" xfId="0" applyFill="1" applyBorder="1"/>
    <xf numFmtId="0" fontId="0" fillId="3" borderId="3" xfId="0" applyFill="1" applyBorder="1"/>
    <xf numFmtId="0" fontId="0" fillId="3" borderId="4" xfId="0" applyFill="1" applyBorder="1"/>
    <xf numFmtId="0" fontId="0" fillId="3" borderId="5" xfId="0" applyFill="1" applyBorder="1" applyAlignment="1">
      <alignment horizontal="right"/>
    </xf>
    <xf numFmtId="1" fontId="0" fillId="3" borderId="6" xfId="0" applyNumberFormat="1" applyFill="1" applyBorder="1" applyAlignment="1">
      <alignment horizontal="center"/>
    </xf>
    <xf numFmtId="0" fontId="0" fillId="3" borderId="5" xfId="0" applyFill="1" applyBorder="1"/>
    <xf numFmtId="0" fontId="0" fillId="3" borderId="6" xfId="0" applyFill="1" applyBorder="1"/>
    <xf numFmtId="0" fontId="2" fillId="2" borderId="0" xfId="0" applyFont="1" applyFill="1" applyAlignment="1">
      <alignment horizontal="right"/>
    </xf>
    <xf numFmtId="164" fontId="0" fillId="3" borderId="6" xfId="0" applyNumberFormat="1" applyFill="1" applyBorder="1" applyAlignment="1">
      <alignment horizontal="center"/>
    </xf>
    <xf numFmtId="0" fontId="0" fillId="3" borderId="7" xfId="0" applyFill="1" applyBorder="1" applyAlignment="1">
      <alignment horizontal="right"/>
    </xf>
    <xf numFmtId="164" fontId="0" fillId="3" borderId="8" xfId="0" applyNumberFormat="1" applyFill="1" applyBorder="1" applyAlignment="1">
      <alignment horizontal="center"/>
    </xf>
    <xf numFmtId="0" fontId="0" fillId="3" borderId="8" xfId="0" applyFill="1" applyBorder="1"/>
    <xf numFmtId="0" fontId="7" fillId="2" borderId="0" xfId="0" applyFont="1" applyFill="1"/>
    <xf numFmtId="0" fontId="0" fillId="0" borderId="0" xfId="0" applyAlignment="1">
      <alignment horizontal="center"/>
    </xf>
    <xf numFmtId="164" fontId="0" fillId="0" borderId="1" xfId="0" applyNumberFormat="1" applyBorder="1"/>
    <xf numFmtId="0" fontId="0" fillId="0" borderId="0" xfId="0" applyAlignment="1">
      <alignment wrapText="1"/>
    </xf>
    <xf numFmtId="0" fontId="9" fillId="0" borderId="0" xfId="0" applyFont="1"/>
    <xf numFmtId="164" fontId="0" fillId="0" borderId="0" xfId="0" applyNumberFormat="1"/>
    <xf numFmtId="0" fontId="12" fillId="7" borderId="0" xfId="0" applyFont="1" applyFill="1"/>
    <xf numFmtId="0" fontId="12" fillId="7" borderId="1" xfId="0" applyFont="1" applyFill="1" applyBorder="1" applyAlignment="1">
      <alignment horizontal="center" vertical="center"/>
    </xf>
    <xf numFmtId="0" fontId="12" fillId="7" borderId="1" xfId="0" applyFont="1" applyFill="1" applyBorder="1" applyAlignment="1">
      <alignment horizontal="center"/>
    </xf>
    <xf numFmtId="0" fontId="12" fillId="7" borderId="0" xfId="0" applyFont="1" applyFill="1" applyAlignment="1">
      <alignment horizontal="center"/>
    </xf>
    <xf numFmtId="164" fontId="12" fillId="7" borderId="1" xfId="0" applyNumberFormat="1" applyFont="1" applyFill="1" applyBorder="1" applyAlignment="1">
      <alignment horizontal="center"/>
    </xf>
    <xf numFmtId="1" fontId="12" fillId="7" borderId="1" xfId="0" applyNumberFormat="1" applyFont="1" applyFill="1" applyBorder="1" applyAlignment="1">
      <alignment horizontal="center"/>
    </xf>
    <xf numFmtId="0" fontId="12" fillId="5" borderId="0" xfId="0" applyFont="1" applyFill="1"/>
    <xf numFmtId="0" fontId="12" fillId="5" borderId="1" xfId="0" applyFont="1" applyFill="1" applyBorder="1"/>
    <xf numFmtId="0" fontId="12" fillId="5" borderId="0" xfId="0" applyFont="1" applyFill="1" applyAlignment="1">
      <alignment horizontal="center"/>
    </xf>
    <xf numFmtId="0" fontId="12" fillId="0" borderId="0" xfId="0" applyFont="1"/>
    <xf numFmtId="0" fontId="12" fillId="5" borderId="1" xfId="0" applyFont="1" applyFill="1" applyBorder="1" applyAlignment="1">
      <alignment horizontal="centerContinuous"/>
    </xf>
    <xf numFmtId="0" fontId="12" fillId="5" borderId="1" xfId="0" applyFont="1" applyFill="1" applyBorder="1" applyAlignment="1">
      <alignment horizontal="center"/>
    </xf>
    <xf numFmtId="0" fontId="12" fillId="4" borderId="1" xfId="0" applyFont="1" applyFill="1" applyBorder="1" applyAlignment="1">
      <alignment horizontal="center"/>
    </xf>
    <xf numFmtId="164" fontId="12" fillId="5" borderId="1" xfId="0" applyNumberFormat="1" applyFont="1" applyFill="1" applyBorder="1" applyAlignment="1">
      <alignment horizontal="center"/>
    </xf>
    <xf numFmtId="164" fontId="12" fillId="6" borderId="1" xfId="0" applyNumberFormat="1" applyFont="1" applyFill="1" applyBorder="1" applyAlignment="1">
      <alignment horizontal="center"/>
    </xf>
    <xf numFmtId="0" fontId="12" fillId="5" borderId="9" xfId="0" applyFont="1" applyFill="1" applyBorder="1"/>
    <xf numFmtId="0" fontId="12" fillId="5" borderId="9" xfId="0" applyFont="1" applyFill="1" applyBorder="1" applyAlignment="1">
      <alignment horizontal="center"/>
    </xf>
    <xf numFmtId="0" fontId="12" fillId="5" borderId="9" xfId="0" applyFont="1" applyFill="1" applyBorder="1" applyAlignment="1">
      <alignment horizontal="centerContinuous"/>
    </xf>
    <xf numFmtId="0" fontId="12" fillId="5" borderId="2" xfId="0" applyFont="1" applyFill="1" applyBorder="1"/>
    <xf numFmtId="0" fontId="12" fillId="5" borderId="4" xfId="0" applyFont="1" applyFill="1" applyBorder="1"/>
    <xf numFmtId="0" fontId="12" fillId="5" borderId="3" xfId="0" applyFont="1" applyFill="1" applyBorder="1"/>
    <xf numFmtId="0" fontId="12" fillId="2" borderId="13" xfId="0" applyFont="1" applyFill="1" applyBorder="1"/>
    <xf numFmtId="0" fontId="12" fillId="5" borderId="5" xfId="0" applyFont="1" applyFill="1" applyBorder="1"/>
    <xf numFmtId="0" fontId="12" fillId="5" borderId="6" xfId="0" applyFont="1" applyFill="1" applyBorder="1"/>
    <xf numFmtId="0" fontId="12" fillId="2" borderId="14" xfId="0" applyFont="1" applyFill="1" applyBorder="1"/>
    <xf numFmtId="1" fontId="12" fillId="2" borderId="14" xfId="0" applyNumberFormat="1" applyFont="1" applyFill="1" applyBorder="1"/>
    <xf numFmtId="0" fontId="12" fillId="5" borderId="7" xfId="0" applyFont="1" applyFill="1" applyBorder="1"/>
    <xf numFmtId="0" fontId="12" fillId="5" borderId="8" xfId="0" applyFont="1" applyFill="1" applyBorder="1"/>
    <xf numFmtId="1" fontId="12" fillId="2" borderId="12" xfId="0" applyNumberFormat="1" applyFont="1" applyFill="1" applyBorder="1"/>
    <xf numFmtId="0" fontId="12" fillId="7" borderId="0" xfId="0" applyFont="1" applyFill="1" applyAlignment="1">
      <alignment vertical="center"/>
    </xf>
    <xf numFmtId="0" fontId="0" fillId="8" borderId="1" xfId="0" applyFill="1" applyBorder="1"/>
    <xf numFmtId="0" fontId="0" fillId="8" borderId="1" xfId="0" applyFill="1" applyBorder="1" applyAlignment="1">
      <alignment horizontal="center" vertical="center"/>
    </xf>
    <xf numFmtId="164" fontId="0" fillId="8" borderId="8" xfId="0" applyNumberFormat="1" applyFill="1" applyBorder="1" applyAlignment="1">
      <alignment horizontal="center"/>
    </xf>
    <xf numFmtId="0" fontId="0" fillId="8" borderId="12" xfId="0" applyFill="1" applyBorder="1" applyAlignment="1">
      <alignment horizontal="center"/>
    </xf>
    <xf numFmtId="164" fontId="0" fillId="8" borderId="12" xfId="0" applyNumberFormat="1" applyFill="1" applyBorder="1" applyAlignment="1">
      <alignment horizontal="center"/>
    </xf>
    <xf numFmtId="0" fontId="0" fillId="8" borderId="11" xfId="0" applyFill="1" applyBorder="1" applyAlignment="1">
      <alignment horizontal="center" vertical="center"/>
    </xf>
    <xf numFmtId="0" fontId="0" fillId="5" borderId="0" xfId="0" applyFill="1"/>
    <xf numFmtId="0" fontId="12" fillId="5" borderId="3" xfId="0" applyFont="1" applyFill="1" applyBorder="1" applyAlignment="1">
      <alignment horizontal="center"/>
    </xf>
    <xf numFmtId="0" fontId="12" fillId="5" borderId="6" xfId="0" applyFont="1" applyFill="1" applyBorder="1" applyAlignment="1">
      <alignment horizontal="center"/>
    </xf>
    <xf numFmtId="0" fontId="12" fillId="5" borderId="8" xfId="0" applyFont="1" applyFill="1" applyBorder="1" applyAlignment="1">
      <alignment horizontal="center"/>
    </xf>
    <xf numFmtId="0" fontId="12" fillId="6" borderId="13" xfId="0" applyFont="1" applyFill="1" applyBorder="1"/>
    <xf numFmtId="0" fontId="12" fillId="6" borderId="14" xfId="0" applyFont="1" applyFill="1" applyBorder="1"/>
    <xf numFmtId="0" fontId="12" fillId="6" borderId="12" xfId="0" applyFont="1" applyFill="1" applyBorder="1"/>
    <xf numFmtId="0" fontId="12" fillId="5" borderId="4" xfId="0" applyFont="1" applyFill="1" applyBorder="1" applyAlignment="1">
      <alignment horizontal="centerContinuous"/>
    </xf>
    <xf numFmtId="0" fontId="12" fillId="5" borderId="3" xfId="0" applyFont="1" applyFill="1" applyBorder="1" applyAlignment="1">
      <alignment horizontal="centerContinuous"/>
    </xf>
    <xf numFmtId="0" fontId="12" fillId="5" borderId="0" xfId="0" applyFont="1" applyFill="1" applyAlignment="1">
      <alignment horizontal="centerContinuous"/>
    </xf>
    <xf numFmtId="0" fontId="12" fillId="5" borderId="6" xfId="0" applyFont="1" applyFill="1" applyBorder="1" applyAlignment="1">
      <alignment horizontal="centerContinuous"/>
    </xf>
    <xf numFmtId="0" fontId="12" fillId="5" borderId="8" xfId="0" applyFont="1" applyFill="1" applyBorder="1" applyAlignment="1">
      <alignment horizontal="centerContinuous"/>
    </xf>
    <xf numFmtId="0" fontId="0" fillId="0" borderId="0" xfId="0" applyAlignment="1">
      <alignment horizontal="left"/>
    </xf>
    <xf numFmtId="0" fontId="0" fillId="8" borderId="4" xfId="0" applyFill="1" applyBorder="1" applyAlignment="1">
      <alignment horizontal="left" vertical="center"/>
    </xf>
    <xf numFmtId="0" fontId="0" fillId="8" borderId="3" xfId="0" applyFill="1" applyBorder="1" applyAlignment="1">
      <alignment horizontal="left" vertical="center"/>
    </xf>
    <xf numFmtId="0" fontId="0" fillId="8" borderId="0" xfId="0" applyFill="1" applyAlignment="1">
      <alignment horizontal="left" vertical="center"/>
    </xf>
    <xf numFmtId="0" fontId="0" fillId="8" borderId="6" xfId="0" applyFill="1" applyBorder="1" applyAlignment="1">
      <alignment horizontal="left" vertical="center"/>
    </xf>
    <xf numFmtId="0" fontId="0" fillId="8" borderId="9" xfId="0" applyFill="1" applyBorder="1" applyAlignment="1">
      <alignment horizontal="left" vertical="center"/>
    </xf>
    <xf numFmtId="0" fontId="0" fillId="8" borderId="8" xfId="0" applyFill="1" applyBorder="1" applyAlignment="1">
      <alignment horizontal="left" vertical="center"/>
    </xf>
    <xf numFmtId="0" fontId="0" fillId="0" borderId="2" xfId="0" applyBorder="1" applyAlignment="1">
      <alignment horizontal="left" vertical="top" wrapText="1"/>
    </xf>
    <xf numFmtId="0" fontId="0" fillId="0" borderId="4" xfId="0" applyBorder="1" applyAlignment="1">
      <alignment horizontal="left" vertical="top" wrapText="1"/>
    </xf>
    <xf numFmtId="0" fontId="0" fillId="0" borderId="3" xfId="0" applyBorder="1" applyAlignment="1">
      <alignment horizontal="left" vertical="top" wrapText="1"/>
    </xf>
    <xf numFmtId="0" fontId="0" fillId="0" borderId="5" xfId="0"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9" xfId="0" applyBorder="1" applyAlignment="1">
      <alignment horizontal="left" vertical="top" wrapText="1"/>
    </xf>
    <xf numFmtId="0" fontId="0" fillId="0" borderId="8" xfId="0" applyBorder="1" applyAlignment="1">
      <alignment horizontal="left" vertical="top" wrapText="1"/>
    </xf>
    <xf numFmtId="0" fontId="12" fillId="7" borderId="2" xfId="0" applyFont="1" applyFill="1" applyBorder="1" applyAlignment="1">
      <alignment horizontal="center" vertical="center"/>
    </xf>
    <xf numFmtId="0" fontId="12" fillId="7" borderId="4" xfId="0" applyFont="1" applyFill="1" applyBorder="1" applyAlignment="1">
      <alignment horizontal="center" vertical="center"/>
    </xf>
    <xf numFmtId="0" fontId="12" fillId="7" borderId="3" xfId="0" applyFont="1" applyFill="1" applyBorder="1" applyAlignment="1">
      <alignment horizontal="center" vertical="center"/>
    </xf>
    <xf numFmtId="0" fontId="12" fillId="7" borderId="7" xfId="0" applyFont="1" applyFill="1" applyBorder="1" applyAlignment="1">
      <alignment horizontal="center" vertical="center"/>
    </xf>
    <xf numFmtId="0" fontId="12" fillId="7" borderId="9" xfId="0" applyFont="1" applyFill="1" applyBorder="1" applyAlignment="1">
      <alignment horizontal="center" vertical="center"/>
    </xf>
    <xf numFmtId="0" fontId="12" fillId="7" borderId="8" xfId="0" applyFont="1" applyFill="1" applyBorder="1" applyAlignment="1">
      <alignment horizontal="center" vertical="center"/>
    </xf>
    <xf numFmtId="0" fontId="12" fillId="7" borderId="0" xfId="0" applyFont="1" applyFill="1" applyAlignment="1">
      <alignment horizontal="center" vertical="center"/>
    </xf>
    <xf numFmtId="0" fontId="12" fillId="7" borderId="1" xfId="0" applyFont="1" applyFill="1" applyBorder="1" applyAlignment="1">
      <alignment horizontal="center" vertical="center"/>
    </xf>
    <xf numFmtId="0" fontId="10" fillId="2" borderId="0" xfId="0" applyFont="1" applyFill="1" applyAlignment="1">
      <alignment horizontal="center"/>
    </xf>
    <xf numFmtId="0" fontId="11" fillId="8" borderId="5" xfId="0" applyFont="1" applyFill="1" applyBorder="1" applyAlignment="1">
      <alignment horizontal="left" vertical="center"/>
    </xf>
    <xf numFmtId="0" fontId="11" fillId="8" borderId="0" xfId="0" applyFont="1" applyFill="1" applyAlignment="1">
      <alignment horizontal="left" vertical="center"/>
    </xf>
    <xf numFmtId="0" fontId="11" fillId="8" borderId="6" xfId="0" applyFont="1" applyFill="1" applyBorder="1" applyAlignment="1">
      <alignment horizontal="left" vertical="center"/>
    </xf>
    <xf numFmtId="0" fontId="11" fillId="8" borderId="7" xfId="0" applyFont="1" applyFill="1" applyBorder="1" applyAlignment="1">
      <alignment horizontal="left" vertical="center"/>
    </xf>
    <xf numFmtId="0" fontId="11" fillId="8" borderId="9" xfId="0" applyFont="1" applyFill="1" applyBorder="1" applyAlignment="1">
      <alignment horizontal="left" vertical="center"/>
    </xf>
    <xf numFmtId="0" fontId="11" fillId="8" borderId="8" xfId="0" applyFont="1" applyFill="1" applyBorder="1" applyAlignment="1">
      <alignment horizontal="left" vertical="center"/>
    </xf>
    <xf numFmtId="0" fontId="11" fillId="8" borderId="2" xfId="0" applyFont="1" applyFill="1" applyBorder="1" applyAlignment="1">
      <alignment horizontal="left" vertical="center"/>
    </xf>
    <xf numFmtId="0" fontId="11" fillId="8" borderId="4" xfId="0" applyFont="1" applyFill="1" applyBorder="1" applyAlignment="1">
      <alignment horizontal="left" vertical="center"/>
    </xf>
    <xf numFmtId="0" fontId="11" fillId="8" borderId="3" xfId="0" applyFont="1" applyFill="1" applyBorder="1" applyAlignment="1">
      <alignment horizontal="left" vertical="center"/>
    </xf>
    <xf numFmtId="164" fontId="11" fillId="8" borderId="4" xfId="0" applyNumberFormat="1" applyFont="1" applyFill="1" applyBorder="1" applyAlignment="1">
      <alignment horizontal="left" vertical="center"/>
    </xf>
    <xf numFmtId="164" fontId="11" fillId="8" borderId="0" xfId="0" applyNumberFormat="1" applyFont="1" applyFill="1" applyAlignment="1">
      <alignment horizontal="left" vertical="center"/>
    </xf>
    <xf numFmtId="0" fontId="0" fillId="8" borderId="10" xfId="0" applyFill="1" applyBorder="1" applyAlignment="1">
      <alignment horizontal="center" wrapText="1"/>
    </xf>
    <xf numFmtId="0" fontId="0" fillId="8" borderId="11" xfId="0" applyFill="1" applyBorder="1" applyAlignment="1">
      <alignment horizontal="center" wrapText="1"/>
    </xf>
    <xf numFmtId="0" fontId="0" fillId="8" borderId="7" xfId="0" applyFill="1" applyBorder="1" applyAlignment="1">
      <alignment horizontal="center"/>
    </xf>
    <xf numFmtId="0" fontId="0" fillId="8" borderId="8" xfId="0" applyFill="1" applyBorder="1" applyAlignment="1">
      <alignment horizontal="center"/>
    </xf>
    <xf numFmtId="0" fontId="14" fillId="2" borderId="0" xfId="0" applyFont="1" applyFill="1" applyBorder="1" applyAlignment="1">
      <alignment horizontal="center"/>
    </xf>
    <xf numFmtId="0" fontId="0" fillId="2" borderId="0" xfId="0" applyFill="1" applyBorder="1"/>
    <xf numFmtId="0" fontId="4" fillId="2" borderId="0" xfId="0" applyFont="1" applyFill="1" applyBorder="1"/>
    <xf numFmtId="0" fontId="2" fillId="2" borderId="0" xfId="0" applyFont="1" applyFill="1" applyBorder="1"/>
    <xf numFmtId="0" fontId="0" fillId="2" borderId="0" xfId="0" applyFill="1" applyBorder="1" applyAlignment="1">
      <alignment horizontal="center"/>
    </xf>
    <xf numFmtId="0" fontId="3" fillId="2" borderId="0" xfId="0" applyFont="1" applyFill="1" applyBorder="1"/>
    <xf numFmtId="0" fontId="1" fillId="2" borderId="0" xfId="0" applyFont="1" applyFill="1" applyBorder="1" applyAlignment="1">
      <alignment horizontal="center"/>
    </xf>
    <xf numFmtId="0" fontId="0" fillId="3" borderId="0" xfId="0" applyFill="1" applyBorder="1" applyAlignment="1">
      <alignment horizontal="center"/>
    </xf>
    <xf numFmtId="0" fontId="0" fillId="3" borderId="0" xfId="0" applyFill="1" applyBorder="1"/>
    <xf numFmtId="0" fontId="0" fillId="3" borderId="0" xfId="0" applyFill="1" applyBorder="1" applyAlignment="1">
      <alignment horizontal="right"/>
    </xf>
    <xf numFmtId="0" fontId="0" fillId="3" borderId="9" xfId="0" applyFill="1" applyBorder="1" applyAlignment="1">
      <alignment horizontal="right"/>
    </xf>
    <xf numFmtId="0" fontId="0" fillId="3" borderId="9" xfId="0" applyFill="1" applyBorder="1" applyAlignment="1">
      <alignment horizontal="center"/>
    </xf>
    <xf numFmtId="0" fontId="0" fillId="3" borderId="9" xfId="0" applyFill="1" applyBorder="1"/>
  </cellXfs>
  <cellStyles count="1">
    <cellStyle name="Normal" xfId="0" builtinId="0"/>
  </cellStyles>
  <dxfs count="6">
    <dxf>
      <font>
        <color rgb="FF9C0006"/>
      </font>
      <fill>
        <patternFill>
          <bgColor rgb="FFFFC7CE"/>
        </patternFill>
      </fill>
    </dxf>
    <dxf>
      <font>
        <color rgb="FF006100"/>
      </font>
      <fill>
        <patternFill>
          <bgColor rgb="FFC6EFCE"/>
        </patternFill>
      </fill>
    </dxf>
    <dxf>
      <font>
        <color theme="2" tint="-0.499984740745262"/>
      </font>
    </dxf>
    <dxf>
      <font>
        <color theme="2" tint="-9.9948118533890809E-2"/>
      </font>
    </dxf>
    <dxf>
      <font>
        <color theme="0" tint="-0.24994659260841701"/>
      </font>
    </dxf>
    <dxf>
      <font>
        <color theme="2" tint="-0.24994659260841701"/>
      </font>
    </dxf>
  </dxfs>
  <tableStyles count="0" defaultTableStyle="TableStyleMedium2" defaultPivotStyle="PivotStyleLight16"/>
  <colors>
    <mruColors>
      <color rgb="FFCC99FF"/>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Radio" checked="Checked" firstButton="1" fmlaLink="$Y$24"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Y$25"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Y$26"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14</xdr:row>
          <xdr:rowOff>71438</xdr:rowOff>
        </xdr:from>
        <xdr:to>
          <xdr:col>5</xdr:col>
          <xdr:colOff>19050</xdr:colOff>
          <xdr:row>16</xdr:row>
          <xdr:rowOff>23813</xdr:rowOff>
        </xdr:to>
        <xdr:sp macro="" textlink="">
          <xdr:nvSpPr>
            <xdr:cNvPr id="6147" name="Option 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GB" sz="800" b="0" i="0" u="none" strike="noStrike" baseline="0">
                  <a:solidFill>
                    <a:srgbClr val="000000"/>
                  </a:solidFill>
                  <a:latin typeface="Segoe UI"/>
                  <a:cs typeface="Segoe UI"/>
                </a:rPr>
                <a:t>Month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16</xdr:row>
          <xdr:rowOff>66675</xdr:rowOff>
        </xdr:from>
        <xdr:to>
          <xdr:col>4</xdr:col>
          <xdr:colOff>204788</xdr:colOff>
          <xdr:row>17</xdr:row>
          <xdr:rowOff>95250</xdr:rowOff>
        </xdr:to>
        <xdr:sp macro="" textlink="">
          <xdr:nvSpPr>
            <xdr:cNvPr id="6148" name="Option Button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GB" sz="800" b="0" i="0" u="none" strike="noStrike" baseline="0">
                  <a:solidFill>
                    <a:srgbClr val="000000"/>
                  </a:solidFill>
                  <a:latin typeface="Segoe UI"/>
                  <a:cs typeface="Segoe UI"/>
                </a:rPr>
                <a:t>Month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17</xdr:row>
          <xdr:rowOff>109538</xdr:rowOff>
        </xdr:from>
        <xdr:to>
          <xdr:col>4</xdr:col>
          <xdr:colOff>366713</xdr:colOff>
          <xdr:row>19</xdr:row>
          <xdr:rowOff>157163</xdr:rowOff>
        </xdr:to>
        <xdr:sp macro="" textlink="">
          <xdr:nvSpPr>
            <xdr:cNvPr id="6149" name="Option Button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GB" sz="800" b="0" i="0" u="none" strike="noStrike" baseline="0">
                  <a:solidFill>
                    <a:srgbClr val="000000"/>
                  </a:solidFill>
                  <a:latin typeface="Segoe UI"/>
                  <a:cs typeface="Segoe UI"/>
                </a:rPr>
                <a:t>Month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290513</xdr:colOff>
          <xdr:row>13</xdr:row>
          <xdr:rowOff>61913</xdr:rowOff>
        </xdr:from>
        <xdr:to>
          <xdr:col>5</xdr:col>
          <xdr:colOff>90488</xdr:colOff>
          <xdr:row>22</xdr:row>
          <xdr:rowOff>9525</xdr:rowOff>
        </xdr:to>
        <xdr:sp macro="" textlink="">
          <xdr:nvSpPr>
            <xdr:cNvPr id="6150" name="Group Box 6"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GB" sz="800" b="0" i="0" u="none" strike="noStrike" baseline="0">
                  <a:solidFill>
                    <a:srgbClr val="000000"/>
                  </a:solidFill>
                  <a:latin typeface="Segoe UI"/>
                  <a:cs typeface="Segoe UI"/>
                </a:rPr>
                <a:t>Select Month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52388</xdr:colOff>
          <xdr:row>14</xdr:row>
          <xdr:rowOff>147638</xdr:rowOff>
        </xdr:from>
        <xdr:to>
          <xdr:col>7</xdr:col>
          <xdr:colOff>371475</xdr:colOff>
          <xdr:row>15</xdr:row>
          <xdr:rowOff>176213</xdr:rowOff>
        </xdr:to>
        <xdr:sp macro="" textlink="">
          <xdr:nvSpPr>
            <xdr:cNvPr id="6151" name="Option Button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GB" sz="800" b="0" i="0" u="none" strike="noStrike" baseline="0">
                  <a:solidFill>
                    <a:srgbClr val="000000"/>
                  </a:solidFill>
                  <a:latin typeface="Segoe UI"/>
                  <a:cs typeface="Segoe UI"/>
                </a:rPr>
                <a:t>1 Journey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52388</xdr:colOff>
          <xdr:row>16</xdr:row>
          <xdr:rowOff>85725</xdr:rowOff>
        </xdr:from>
        <xdr:to>
          <xdr:col>7</xdr:col>
          <xdr:colOff>371475</xdr:colOff>
          <xdr:row>17</xdr:row>
          <xdr:rowOff>114300</xdr:rowOff>
        </xdr:to>
        <xdr:sp macro="" textlink="">
          <xdr:nvSpPr>
            <xdr:cNvPr id="6152" name="Option Button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GB" sz="800" b="0" i="0" u="none" strike="noStrike" baseline="0">
                  <a:solidFill>
                    <a:srgbClr val="000000"/>
                  </a:solidFill>
                  <a:latin typeface="Segoe UI"/>
                  <a:cs typeface="Segoe UI"/>
                </a:rPr>
                <a:t>2 Journey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552450</xdr:colOff>
          <xdr:row>13</xdr:row>
          <xdr:rowOff>52388</xdr:rowOff>
        </xdr:from>
        <xdr:to>
          <xdr:col>8</xdr:col>
          <xdr:colOff>271463</xdr:colOff>
          <xdr:row>19</xdr:row>
          <xdr:rowOff>171450</xdr:rowOff>
        </xdr:to>
        <xdr:sp macro="" textlink="">
          <xdr:nvSpPr>
            <xdr:cNvPr id="6153" name="Group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GB" sz="800" b="0" i="0" u="none" strike="noStrike" baseline="0">
                  <a:solidFill>
                    <a:srgbClr val="000000"/>
                  </a:solidFill>
                  <a:latin typeface="Segoe UI"/>
                  <a:cs typeface="Segoe UI"/>
                </a:rPr>
                <a:t>Select number of Journey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790575</xdr:colOff>
          <xdr:row>13</xdr:row>
          <xdr:rowOff>14288</xdr:rowOff>
        </xdr:from>
        <xdr:to>
          <xdr:col>11</xdr:col>
          <xdr:colOff>161925</xdr:colOff>
          <xdr:row>21</xdr:row>
          <xdr:rowOff>42863</xdr:rowOff>
        </xdr:to>
        <xdr:sp macro="" textlink="">
          <xdr:nvSpPr>
            <xdr:cNvPr id="6154" name="Group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GB" sz="800" b="0" i="0" u="none" strike="noStrike" baseline="0">
                  <a:solidFill>
                    <a:srgbClr val="000000"/>
                  </a:solidFill>
                  <a:latin typeface="Segoe UI"/>
                  <a:cs typeface="Segoe UI"/>
                </a:rPr>
                <a:t>Select operating plant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61913</xdr:colOff>
          <xdr:row>14</xdr:row>
          <xdr:rowOff>157163</xdr:rowOff>
        </xdr:from>
        <xdr:to>
          <xdr:col>10</xdr:col>
          <xdr:colOff>195263</xdr:colOff>
          <xdr:row>15</xdr:row>
          <xdr:rowOff>190500</xdr:rowOff>
        </xdr:to>
        <xdr:sp macro="" textlink="">
          <xdr:nvSpPr>
            <xdr:cNvPr id="6155" name="Option Button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GB" sz="800" b="0" i="0" u="none" strike="noStrike" baseline="0">
                  <a:solidFill>
                    <a:srgbClr val="000000"/>
                  </a:solidFill>
                  <a:latin typeface="Segoe UI"/>
                  <a:cs typeface="Segoe UI"/>
                </a:rPr>
                <a:t>Both plants working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16</xdr:row>
          <xdr:rowOff>138113</xdr:rowOff>
        </xdr:from>
        <xdr:to>
          <xdr:col>9</xdr:col>
          <xdr:colOff>809625</xdr:colOff>
          <xdr:row>17</xdr:row>
          <xdr:rowOff>171450</xdr:rowOff>
        </xdr:to>
        <xdr:sp macro="" textlink="">
          <xdr:nvSpPr>
            <xdr:cNvPr id="6156" name="Option Button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GB" sz="800" b="0" i="0" u="none" strike="noStrike" baseline="0">
                  <a:solidFill>
                    <a:srgbClr val="000000"/>
                  </a:solidFill>
                  <a:latin typeface="Segoe UI"/>
                  <a:cs typeface="Segoe UI"/>
                </a:rPr>
                <a:t>Fleet is closed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18</xdr:row>
          <xdr:rowOff>138113</xdr:rowOff>
        </xdr:from>
        <xdr:to>
          <xdr:col>9</xdr:col>
          <xdr:colOff>823913</xdr:colOff>
          <xdr:row>19</xdr:row>
          <xdr:rowOff>171450</xdr:rowOff>
        </xdr:to>
        <xdr:sp macro="" textlink="">
          <xdr:nvSpPr>
            <xdr:cNvPr id="6157" name="Option Button 13" hidden="1">
              <a:extLst>
                <a:ext uri="{63B3BB69-23CF-44E3-9099-C40C66FF867C}">
                  <a14:compatExt spid="_x0000_s6157"/>
                </a:ext>
                <a:ext uri="{FF2B5EF4-FFF2-40B4-BE49-F238E27FC236}">
                  <a16:creationId xmlns:a16="http://schemas.microsoft.com/office/drawing/2014/main" id="{00000000-0008-0000-02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GB" sz="800" b="0" i="0" u="none" strike="noStrike" baseline="0">
                  <a:solidFill>
                    <a:srgbClr val="000000"/>
                  </a:solidFill>
                  <a:latin typeface="Segoe UI"/>
                  <a:cs typeface="Segoe UI"/>
                </a:rPr>
                <a:t>Black is closed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538163</xdr:colOff>
          <xdr:row>19</xdr:row>
          <xdr:rowOff>166688</xdr:rowOff>
        </xdr:from>
        <xdr:to>
          <xdr:col>3</xdr:col>
          <xdr:colOff>571500</xdr:colOff>
          <xdr:row>21</xdr:row>
          <xdr:rowOff>0</xdr:rowOff>
        </xdr:to>
        <xdr:sp macro="" textlink="">
          <xdr:nvSpPr>
            <xdr:cNvPr id="6158" name="Option Button 14" hidden="1">
              <a:extLst>
                <a:ext uri="{63B3BB69-23CF-44E3-9099-C40C66FF867C}">
                  <a14:compatExt spid="_x0000_s6158"/>
                </a:ext>
                <a:ext uri="{FF2B5EF4-FFF2-40B4-BE49-F238E27FC236}">
                  <a16:creationId xmlns:a16="http://schemas.microsoft.com/office/drawing/2014/main" id="{00000000-0008-0000-02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GB" sz="800" b="0" i="0" u="none" strike="noStrike" baseline="0">
                  <a:solidFill>
                    <a:srgbClr val="000000"/>
                  </a:solidFill>
                  <a:latin typeface="Segoe UI"/>
                  <a:cs typeface="Segoe UI"/>
                </a:rPr>
                <a:t>Month 4</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14</xdr:row>
          <xdr:rowOff>80963</xdr:rowOff>
        </xdr:from>
        <xdr:to>
          <xdr:col>15</xdr:col>
          <xdr:colOff>523875</xdr:colOff>
          <xdr:row>18</xdr:row>
          <xdr:rowOff>19050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200-0000111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Go to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328613</xdr:colOff>
          <xdr:row>22</xdr:row>
          <xdr:rowOff>119063</xdr:rowOff>
        </xdr:from>
        <xdr:to>
          <xdr:col>14</xdr:col>
          <xdr:colOff>1300163</xdr:colOff>
          <xdr:row>26</xdr:row>
          <xdr:rowOff>66675</xdr:rowOff>
        </xdr:to>
        <xdr:sp macro="" textlink="">
          <xdr:nvSpPr>
            <xdr:cNvPr id="3116" name="Button 44" hidden="1">
              <a:extLst>
                <a:ext uri="{63B3BB69-23CF-44E3-9099-C40C66FF867C}">
                  <a14:compatExt spid="_x0000_s3116"/>
                </a:ext>
                <a:ext uri="{FF2B5EF4-FFF2-40B4-BE49-F238E27FC236}">
                  <a16:creationId xmlns:a16="http://schemas.microsoft.com/office/drawing/2014/main" id="{00000000-0008-0000-0300-00002C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Go to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323850</xdr:colOff>
          <xdr:row>10</xdr:row>
          <xdr:rowOff>133350</xdr:rowOff>
        </xdr:from>
        <xdr:to>
          <xdr:col>14</xdr:col>
          <xdr:colOff>1300163</xdr:colOff>
          <xdr:row>14</xdr:row>
          <xdr:rowOff>57150</xdr:rowOff>
        </xdr:to>
        <xdr:sp macro="" textlink="">
          <xdr:nvSpPr>
            <xdr:cNvPr id="3117" name="Button 45" hidden="1">
              <a:extLst>
                <a:ext uri="{63B3BB69-23CF-44E3-9099-C40C66FF867C}">
                  <a14:compatExt spid="_x0000_s3117"/>
                </a:ext>
                <a:ext uri="{FF2B5EF4-FFF2-40B4-BE49-F238E27FC236}">
                  <a16:creationId xmlns:a16="http://schemas.microsoft.com/office/drawing/2014/main" id="{00000000-0008-0000-0300-00002D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Run Solver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338138</xdr:colOff>
          <xdr:row>16</xdr:row>
          <xdr:rowOff>95250</xdr:rowOff>
        </xdr:from>
        <xdr:to>
          <xdr:col>14</xdr:col>
          <xdr:colOff>1271588</xdr:colOff>
          <xdr:row>20</xdr:row>
          <xdr:rowOff>76200</xdr:rowOff>
        </xdr:to>
        <xdr:sp macro="" textlink="">
          <xdr:nvSpPr>
            <xdr:cNvPr id="3118" name="Button 46" hidden="1">
              <a:extLst>
                <a:ext uri="{63B3BB69-23CF-44E3-9099-C40C66FF867C}">
                  <a14:compatExt spid="_x0000_s3118"/>
                </a:ext>
                <a:ext uri="{FF2B5EF4-FFF2-40B4-BE49-F238E27FC236}">
                  <a16:creationId xmlns:a16="http://schemas.microsoft.com/office/drawing/2014/main" id="{00000000-0008-0000-0300-00002E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Go to Input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0</xdr:colOff>
          <xdr:row>8</xdr:row>
          <xdr:rowOff>157163</xdr:rowOff>
        </xdr:from>
        <xdr:to>
          <xdr:col>8</xdr:col>
          <xdr:colOff>157163</xdr:colOff>
          <xdr:row>12</xdr:row>
          <xdr:rowOff>152400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Go 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20</xdr:row>
          <xdr:rowOff>52388</xdr:rowOff>
        </xdr:from>
        <xdr:to>
          <xdr:col>8</xdr:col>
          <xdr:colOff>190500</xdr:colOff>
          <xdr:row>24</xdr:row>
          <xdr:rowOff>47625</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Go to Model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FB90F-C716-4EC9-94D3-84B2AEB5D42D}">
  <sheetPr codeName="Sheet3"/>
  <dimension ref="A1:AZ53"/>
  <sheetViews>
    <sheetView workbookViewId="0">
      <selection activeCell="T2" sqref="T2"/>
    </sheetView>
  </sheetViews>
  <sheetFormatPr defaultRowHeight="14.25" x14ac:dyDescent="0.45"/>
  <cols>
    <col min="1" max="1" width="6.73046875" customWidth="1"/>
    <col min="2" max="2" width="3.1328125" customWidth="1"/>
    <col min="3" max="3" width="8.265625" customWidth="1"/>
    <col min="4" max="4" width="18.73046875" customWidth="1"/>
    <col min="5" max="5" width="10.86328125" customWidth="1"/>
    <col min="6" max="6" width="4.3984375" customWidth="1"/>
    <col min="7" max="7" width="5.73046875" customWidth="1"/>
    <col min="8" max="8" width="6" customWidth="1"/>
    <col min="9" max="9" width="3.86328125" customWidth="1"/>
    <col min="10" max="10" width="10.3984375" customWidth="1"/>
    <col min="11" max="11" width="3.86328125" customWidth="1"/>
    <col min="12" max="12" width="10.3984375" customWidth="1"/>
    <col min="13" max="13" width="3.86328125" customWidth="1"/>
    <col min="14" max="14" width="10.3984375" customWidth="1"/>
    <col min="15" max="15" width="3.86328125" customWidth="1"/>
    <col min="16" max="16" width="10.3984375" customWidth="1"/>
    <col min="17" max="17" width="3.86328125" customWidth="1"/>
    <col min="18" max="18" width="10.3984375" customWidth="1"/>
    <col min="19" max="19" width="3.86328125" customWidth="1"/>
    <col min="20" max="20" width="10.3984375" customWidth="1"/>
    <col min="21" max="21" width="14.3984375" customWidth="1"/>
    <col min="22" max="22" width="5.73046875" customWidth="1"/>
  </cols>
  <sheetData>
    <row r="1" spans="1:52" x14ac:dyDescent="0.45">
      <c r="A1" s="1"/>
      <c r="B1" s="2"/>
      <c r="C1" s="2"/>
      <c r="D1" s="2"/>
      <c r="E1" s="2"/>
      <c r="F1" s="2"/>
      <c r="G1" s="2"/>
      <c r="H1" s="2"/>
      <c r="I1" s="1"/>
      <c r="J1" s="1"/>
      <c r="K1" s="1"/>
      <c r="L1" s="1"/>
      <c r="M1" s="1"/>
      <c r="N1" s="1"/>
      <c r="O1" s="1"/>
      <c r="P1" s="1"/>
      <c r="Q1" s="1"/>
      <c r="R1" s="3"/>
      <c r="S1" s="4"/>
      <c r="T1" s="1"/>
      <c r="U1" s="1"/>
      <c r="V1" s="1"/>
      <c r="AZ1">
        <v>22</v>
      </c>
    </row>
    <row r="2" spans="1:52" x14ac:dyDescent="0.45">
      <c r="A2" s="1"/>
      <c r="B2" s="2"/>
      <c r="C2" s="2"/>
      <c r="D2" s="2"/>
      <c r="E2" s="2"/>
      <c r="F2" s="2"/>
      <c r="G2" s="2"/>
      <c r="H2" s="2"/>
      <c r="I2" s="1"/>
      <c r="J2" s="5"/>
      <c r="K2" s="1"/>
      <c r="L2" s="1"/>
      <c r="M2" s="1"/>
      <c r="N2" s="1"/>
      <c r="O2" s="1"/>
      <c r="P2" s="1"/>
      <c r="Q2" s="1"/>
      <c r="R2" s="1"/>
      <c r="S2" s="1"/>
      <c r="T2" s="1"/>
      <c r="U2" s="1"/>
      <c r="V2" s="1"/>
    </row>
    <row r="3" spans="1:52" x14ac:dyDescent="0.45">
      <c r="A3" s="1"/>
      <c r="B3" s="1"/>
      <c r="C3" s="1"/>
      <c r="D3" s="1"/>
      <c r="E3" s="1"/>
      <c r="F3" s="1"/>
      <c r="G3" s="1"/>
      <c r="H3" s="1"/>
      <c r="I3" s="1"/>
      <c r="J3" s="6"/>
      <c r="K3" s="7"/>
      <c r="L3" s="6"/>
      <c r="M3" s="7"/>
      <c r="N3" s="6"/>
      <c r="O3" s="8"/>
      <c r="P3" s="8"/>
      <c r="Q3" s="8"/>
      <c r="R3" s="8"/>
      <c r="S3" s="8"/>
      <c r="T3" s="8"/>
      <c r="U3" s="1"/>
      <c r="V3" s="1"/>
    </row>
    <row r="4" spans="1:52" x14ac:dyDescent="0.45">
      <c r="A4" s="2"/>
      <c r="B4" s="9" t="s">
        <v>0</v>
      </c>
      <c r="C4" s="1"/>
      <c r="D4" s="1"/>
      <c r="E4" s="1"/>
      <c r="F4" s="1"/>
      <c r="G4" s="1"/>
      <c r="H4" s="1"/>
      <c r="I4" s="1"/>
      <c r="J4" s="6" t="s">
        <v>1</v>
      </c>
      <c r="K4" s="7"/>
      <c r="L4" s="6" t="s">
        <v>2</v>
      </c>
      <c r="M4" s="7"/>
      <c r="N4" s="6" t="s">
        <v>3</v>
      </c>
      <c r="O4" s="7"/>
      <c r="P4" s="5" t="s">
        <v>4</v>
      </c>
      <c r="Q4" s="7"/>
      <c r="R4" s="6" t="s">
        <v>5</v>
      </c>
      <c r="S4" s="7"/>
      <c r="T4" s="6" t="s">
        <v>6</v>
      </c>
      <c r="U4" s="1"/>
      <c r="V4" s="1"/>
    </row>
    <row r="5" spans="1:52" x14ac:dyDescent="0.45">
      <c r="A5" s="1">
        <v>1</v>
      </c>
      <c r="B5" s="2" t="s">
        <v>7</v>
      </c>
      <c r="C5" s="1"/>
      <c r="D5" s="1"/>
      <c r="E5" s="1"/>
      <c r="F5" s="1"/>
      <c r="G5" s="1"/>
      <c r="H5" s="1"/>
      <c r="I5" s="1"/>
      <c r="J5" s="10">
        <v>34</v>
      </c>
      <c r="K5" s="1"/>
      <c r="L5" s="10">
        <v>354</v>
      </c>
      <c r="M5" s="1"/>
      <c r="N5" s="10">
        <v>236</v>
      </c>
      <c r="O5" s="1"/>
      <c r="P5" s="10">
        <v>354</v>
      </c>
      <c r="Q5" s="1"/>
      <c r="R5" s="10">
        <v>184</v>
      </c>
      <c r="S5" s="1"/>
      <c r="T5" s="10">
        <v>52</v>
      </c>
      <c r="U5" s="1"/>
      <c r="V5" s="1"/>
    </row>
    <row r="6" spans="1:52" ht="4.5" customHeight="1" x14ac:dyDescent="0.45">
      <c r="A6" s="1"/>
      <c r="B6" s="1"/>
      <c r="C6" s="1"/>
      <c r="D6" s="1"/>
      <c r="E6" s="1"/>
      <c r="F6" s="1"/>
      <c r="G6" s="1"/>
      <c r="H6" s="1"/>
      <c r="I6" s="1"/>
      <c r="J6" s="1"/>
      <c r="K6" s="1"/>
      <c r="L6" s="1"/>
      <c r="M6" s="1"/>
      <c r="N6" s="1"/>
      <c r="O6" s="1"/>
      <c r="P6" s="1"/>
      <c r="Q6" s="1"/>
      <c r="R6" s="1"/>
      <c r="S6" s="1"/>
      <c r="T6" s="1"/>
      <c r="U6" s="1"/>
      <c r="V6" s="1"/>
    </row>
    <row r="7" spans="1:52" ht="14.25" customHeight="1" x14ac:dyDescent="0.45">
      <c r="A7" s="1">
        <v>2</v>
      </c>
      <c r="B7" s="2" t="s">
        <v>8</v>
      </c>
      <c r="C7" s="1"/>
      <c r="D7" s="1"/>
      <c r="E7" s="1"/>
      <c r="F7" s="1"/>
      <c r="G7" s="1"/>
      <c r="H7" s="1"/>
      <c r="I7" s="1"/>
      <c r="J7" s="26">
        <v>2236</v>
      </c>
      <c r="K7" s="1"/>
      <c r="L7" s="1"/>
      <c r="M7" s="1"/>
      <c r="N7" s="2"/>
      <c r="O7" s="1"/>
      <c r="P7" s="1"/>
      <c r="Q7" s="1"/>
      <c r="R7" s="1"/>
      <c r="S7" s="1"/>
      <c r="T7" s="1"/>
      <c r="U7" s="1"/>
      <c r="V7" s="1"/>
    </row>
    <row r="8" spans="1:52" ht="4.5" customHeight="1" x14ac:dyDescent="0.45">
      <c r="A8" s="1"/>
      <c r="B8" s="1"/>
      <c r="C8" s="1"/>
      <c r="D8" s="1"/>
      <c r="E8" s="1"/>
      <c r="F8" s="1"/>
      <c r="G8" s="1"/>
      <c r="H8" s="1"/>
      <c r="I8" s="1"/>
      <c r="J8" s="1"/>
      <c r="K8" s="1"/>
      <c r="L8" s="1"/>
      <c r="M8" s="1"/>
      <c r="N8" s="2"/>
      <c r="O8" s="1"/>
      <c r="P8" s="1"/>
      <c r="Q8" s="1"/>
      <c r="R8" s="1"/>
      <c r="S8" s="1"/>
      <c r="T8" s="1"/>
      <c r="U8" s="1"/>
      <c r="V8" s="1"/>
    </row>
    <row r="9" spans="1:52" ht="15" customHeight="1" x14ac:dyDescent="0.55000000000000004">
      <c r="A9" s="1">
        <v>3</v>
      </c>
      <c r="B9" s="2" t="s">
        <v>9</v>
      </c>
      <c r="C9" s="1"/>
      <c r="D9" s="1"/>
      <c r="E9" s="1"/>
      <c r="F9" s="1"/>
      <c r="G9" s="1"/>
      <c r="H9" s="1"/>
      <c r="I9" s="1"/>
      <c r="J9" s="10">
        <v>62</v>
      </c>
      <c r="K9" s="1"/>
      <c r="L9" s="1"/>
      <c r="M9" s="1"/>
      <c r="N9" s="2"/>
      <c r="O9" s="11" t="s">
        <v>10</v>
      </c>
      <c r="P9" s="1"/>
      <c r="Q9" s="1"/>
      <c r="R9" s="1"/>
      <c r="S9" s="1"/>
      <c r="T9" s="1"/>
      <c r="U9" s="1"/>
      <c r="V9" s="1"/>
    </row>
    <row r="10" spans="1:52" ht="4.5" customHeight="1" x14ac:dyDescent="0.45">
      <c r="A10" s="1"/>
      <c r="B10" s="1"/>
      <c r="C10" s="1"/>
      <c r="D10" s="1"/>
      <c r="E10" s="1"/>
      <c r="F10" s="1"/>
      <c r="G10" s="1"/>
      <c r="H10" s="1"/>
      <c r="I10" s="1"/>
      <c r="J10" s="1"/>
      <c r="K10" s="1"/>
      <c r="L10" s="1"/>
      <c r="M10" s="1"/>
      <c r="N10" s="2"/>
      <c r="O10" s="12"/>
      <c r="P10" s="14"/>
      <c r="Q10" s="14"/>
      <c r="R10" s="13"/>
      <c r="S10" s="14"/>
      <c r="T10" s="13"/>
      <c r="U10" s="1"/>
      <c r="V10" s="1"/>
    </row>
    <row r="11" spans="1:52" ht="15" customHeight="1" x14ac:dyDescent="0.55000000000000004">
      <c r="A11" s="1">
        <v>4</v>
      </c>
      <c r="B11" s="2" t="s">
        <v>11</v>
      </c>
      <c r="C11" s="1"/>
      <c r="D11" s="1"/>
      <c r="E11" s="1"/>
      <c r="F11" s="1"/>
      <c r="G11" s="1"/>
      <c r="H11" s="1"/>
      <c r="I11" s="1"/>
      <c r="J11" s="10" t="s">
        <v>44</v>
      </c>
      <c r="K11" s="1"/>
      <c r="L11" s="1"/>
      <c r="M11" s="1"/>
      <c r="N11" s="2"/>
      <c r="O11" s="15" t="s">
        <v>12</v>
      </c>
      <c r="P11" s="125">
        <v>652</v>
      </c>
      <c r="Q11" s="127" t="s">
        <v>13</v>
      </c>
      <c r="R11" s="20">
        <v>1.8399999999999999</v>
      </c>
      <c r="S11" s="125" t="s">
        <v>14</v>
      </c>
      <c r="T11" s="16">
        <v>45</v>
      </c>
      <c r="U11" s="1"/>
      <c r="V11" s="1"/>
    </row>
    <row r="12" spans="1:52" ht="4.5" customHeight="1" x14ac:dyDescent="0.45">
      <c r="A12" s="1"/>
      <c r="B12" s="2"/>
      <c r="C12" s="1"/>
      <c r="D12" s="1"/>
      <c r="E12" s="1"/>
      <c r="F12" s="1"/>
      <c r="G12" s="1"/>
      <c r="H12" s="1"/>
      <c r="I12" s="1"/>
      <c r="J12" s="1"/>
      <c r="K12" s="1"/>
      <c r="L12" s="1"/>
      <c r="M12" s="1"/>
      <c r="N12" s="2"/>
      <c r="O12" s="15"/>
      <c r="P12" s="125"/>
      <c r="Q12" s="127"/>
      <c r="R12" s="20"/>
      <c r="S12" s="126"/>
      <c r="T12" s="18"/>
      <c r="U12" s="1"/>
      <c r="V12" s="1"/>
    </row>
    <row r="13" spans="1:52" ht="15" customHeight="1" x14ac:dyDescent="0.55000000000000004">
      <c r="A13" s="1">
        <v>5</v>
      </c>
      <c r="B13" s="2" t="s">
        <v>15</v>
      </c>
      <c r="C13" s="1"/>
      <c r="D13" s="1"/>
      <c r="E13" s="1"/>
      <c r="F13" s="1"/>
      <c r="G13" s="1"/>
      <c r="H13" s="1"/>
      <c r="I13" s="19"/>
      <c r="J13" s="26">
        <v>1120</v>
      </c>
      <c r="K13" s="1"/>
      <c r="L13" s="1"/>
      <c r="M13" s="1"/>
      <c r="N13" s="2"/>
      <c r="O13" s="15" t="s">
        <v>16</v>
      </c>
      <c r="P13" s="125">
        <v>624</v>
      </c>
      <c r="Q13" s="127" t="s">
        <v>17</v>
      </c>
      <c r="R13" s="20">
        <v>2</v>
      </c>
      <c r="S13" s="125" t="s">
        <v>18</v>
      </c>
      <c r="T13" s="16">
        <v>65</v>
      </c>
      <c r="U13" s="1"/>
      <c r="V13" s="1"/>
    </row>
    <row r="14" spans="1:52" ht="4.5" customHeight="1" x14ac:dyDescent="0.45">
      <c r="A14" s="1"/>
      <c r="B14" s="1"/>
      <c r="C14" s="1"/>
      <c r="D14" s="1"/>
      <c r="E14" s="1"/>
      <c r="F14" s="1"/>
      <c r="G14" s="1"/>
      <c r="H14" s="1"/>
      <c r="I14" s="8"/>
      <c r="J14" s="1"/>
      <c r="K14" s="1"/>
      <c r="L14" s="1"/>
      <c r="M14" s="1"/>
      <c r="N14" s="2"/>
      <c r="O14" s="15"/>
      <c r="P14" s="125"/>
      <c r="Q14" s="127"/>
      <c r="R14" s="20"/>
      <c r="S14" s="127"/>
      <c r="T14" s="20"/>
      <c r="U14" s="1"/>
      <c r="V14" s="1"/>
    </row>
    <row r="15" spans="1:52" ht="15" customHeight="1" x14ac:dyDescent="0.55000000000000004">
      <c r="A15" s="1">
        <v>6</v>
      </c>
      <c r="B15" s="2" t="s">
        <v>19</v>
      </c>
      <c r="C15" s="1"/>
      <c r="D15" s="1"/>
      <c r="E15" s="1"/>
      <c r="F15" s="1"/>
      <c r="G15" s="1"/>
      <c r="H15" s="1"/>
      <c r="I15" s="19"/>
      <c r="J15" s="26">
        <v>1116</v>
      </c>
      <c r="K15" s="1"/>
      <c r="L15" s="1"/>
      <c r="M15" s="1"/>
      <c r="N15" s="2"/>
      <c r="O15" s="15" t="s">
        <v>20</v>
      </c>
      <c r="P15" s="125">
        <v>388</v>
      </c>
      <c r="Q15" s="127" t="s">
        <v>21</v>
      </c>
      <c r="R15" s="20">
        <v>1.85</v>
      </c>
      <c r="S15" s="125" t="s">
        <v>22</v>
      </c>
      <c r="T15" s="16">
        <v>0</v>
      </c>
      <c r="U15" s="1"/>
      <c r="V15" s="1"/>
    </row>
    <row r="16" spans="1:52" ht="4.5" customHeight="1" x14ac:dyDescent="0.45">
      <c r="A16" s="1"/>
      <c r="B16" s="1"/>
      <c r="C16" s="1"/>
      <c r="D16" s="1"/>
      <c r="E16" s="1"/>
      <c r="F16" s="1"/>
      <c r="G16" s="1"/>
      <c r="H16" s="1"/>
      <c r="I16" s="1"/>
      <c r="J16" s="1"/>
      <c r="K16" s="1"/>
      <c r="L16" s="1"/>
      <c r="M16" s="1"/>
      <c r="N16" s="2"/>
      <c r="O16" s="15"/>
      <c r="P16" s="125"/>
      <c r="Q16" s="127"/>
      <c r="R16" s="20"/>
      <c r="S16" s="128"/>
      <c r="T16" s="22"/>
      <c r="U16" s="1"/>
      <c r="V16" s="1"/>
    </row>
    <row r="17" spans="1:22" ht="15" customHeight="1" x14ac:dyDescent="0.55000000000000004">
      <c r="A17" s="1">
        <v>7</v>
      </c>
      <c r="B17" s="2" t="s">
        <v>23</v>
      </c>
      <c r="C17" s="1"/>
      <c r="D17" s="1"/>
      <c r="E17" s="1"/>
      <c r="F17" s="1"/>
      <c r="G17" s="1"/>
      <c r="H17" s="1"/>
      <c r="I17" s="1"/>
      <c r="J17" s="26">
        <v>2333</v>
      </c>
      <c r="K17" s="1"/>
      <c r="L17" s="1"/>
      <c r="M17" s="1"/>
      <c r="N17" s="1"/>
      <c r="O17" s="15" t="s">
        <v>24</v>
      </c>
      <c r="P17" s="125">
        <v>538</v>
      </c>
      <c r="Q17" s="127" t="s">
        <v>25</v>
      </c>
      <c r="R17" s="20">
        <v>2.06</v>
      </c>
      <c r="S17" s="1"/>
      <c r="T17" s="1"/>
      <c r="U17" s="1"/>
      <c r="V17" s="1"/>
    </row>
    <row r="18" spans="1:22" ht="4.5" customHeight="1" x14ac:dyDescent="0.45">
      <c r="A18" s="1"/>
      <c r="B18" s="1"/>
      <c r="C18" s="1"/>
      <c r="D18" s="1"/>
      <c r="E18" s="1"/>
      <c r="F18" s="1"/>
      <c r="G18" s="1"/>
      <c r="H18" s="1"/>
      <c r="I18" s="1"/>
      <c r="J18" s="1"/>
      <c r="K18" s="1"/>
      <c r="L18" s="1"/>
      <c r="M18" s="1"/>
      <c r="N18" s="1"/>
      <c r="O18" s="15"/>
      <c r="P18" s="125"/>
      <c r="Q18" s="127"/>
      <c r="R18" s="20"/>
      <c r="S18" s="1"/>
      <c r="T18" s="1"/>
      <c r="U18" s="1"/>
      <c r="V18" s="1"/>
    </row>
    <row r="19" spans="1:22" ht="15" customHeight="1" x14ac:dyDescent="0.55000000000000004">
      <c r="A19" s="1">
        <v>8</v>
      </c>
      <c r="B19" s="2" t="s">
        <v>9</v>
      </c>
      <c r="C19" s="1"/>
      <c r="D19" s="1"/>
      <c r="E19" s="1"/>
      <c r="F19" s="1"/>
      <c r="G19" s="1"/>
      <c r="H19" s="1"/>
      <c r="I19" s="1"/>
      <c r="J19" s="10">
        <v>17</v>
      </c>
      <c r="K19" s="1"/>
      <c r="L19" s="1"/>
      <c r="M19" s="1"/>
      <c r="N19" s="1"/>
      <c r="O19" s="15" t="s">
        <v>26</v>
      </c>
      <c r="P19" s="125">
        <v>288</v>
      </c>
      <c r="Q19" s="127" t="s">
        <v>27</v>
      </c>
      <c r="R19" s="20">
        <v>1.8</v>
      </c>
      <c r="S19" s="1"/>
      <c r="T19" s="1"/>
      <c r="U19" s="1"/>
      <c r="V19" s="1"/>
    </row>
    <row r="20" spans="1:22" ht="4.5" customHeight="1" x14ac:dyDescent="0.45">
      <c r="A20" s="1"/>
      <c r="B20" s="2"/>
      <c r="C20" s="1"/>
      <c r="D20" s="1"/>
      <c r="E20" s="1"/>
      <c r="F20" s="1"/>
      <c r="G20" s="1"/>
      <c r="H20" s="1"/>
      <c r="I20" s="1"/>
      <c r="J20" s="1"/>
      <c r="K20" s="1"/>
      <c r="L20" s="1"/>
      <c r="M20" s="1"/>
      <c r="N20" s="1"/>
      <c r="O20" s="17"/>
      <c r="P20" s="126"/>
      <c r="Q20" s="127"/>
      <c r="R20" s="20"/>
      <c r="S20" s="1"/>
      <c r="T20" s="1"/>
      <c r="U20" s="1"/>
      <c r="V20" s="1"/>
    </row>
    <row r="21" spans="1:22" ht="15" customHeight="1" x14ac:dyDescent="0.55000000000000004">
      <c r="A21" s="1">
        <v>9</v>
      </c>
      <c r="B21" s="2" t="s">
        <v>28</v>
      </c>
      <c r="C21" s="1"/>
      <c r="D21" s="1"/>
      <c r="E21" s="1"/>
      <c r="F21" s="1"/>
      <c r="G21" s="1"/>
      <c r="H21" s="1"/>
      <c r="I21" s="1"/>
      <c r="J21" s="26">
        <v>2360</v>
      </c>
      <c r="K21" s="1"/>
      <c r="L21" s="1"/>
      <c r="M21" s="1"/>
      <c r="N21" s="1"/>
      <c r="O21" s="15" t="s">
        <v>29</v>
      </c>
      <c r="P21" s="125">
        <v>354</v>
      </c>
      <c r="Q21" s="127" t="s">
        <v>30</v>
      </c>
      <c r="R21" s="20">
        <v>1.75</v>
      </c>
      <c r="S21" s="1"/>
      <c r="T21" s="1"/>
      <c r="U21" s="1"/>
      <c r="V21" s="1"/>
    </row>
    <row r="22" spans="1:22" ht="4.5" customHeight="1" x14ac:dyDescent="0.45">
      <c r="A22" s="1"/>
      <c r="B22" s="1"/>
      <c r="C22" s="1"/>
      <c r="D22" s="1"/>
      <c r="E22" s="1"/>
      <c r="F22" s="1"/>
      <c r="G22" s="1"/>
      <c r="H22" s="1"/>
      <c r="I22" s="1"/>
      <c r="J22" s="1"/>
      <c r="K22" s="1"/>
      <c r="L22" s="1"/>
      <c r="M22" s="1"/>
      <c r="N22" s="1"/>
      <c r="O22" s="21"/>
      <c r="P22" s="129"/>
      <c r="Q22" s="130"/>
      <c r="R22" s="23"/>
      <c r="S22" s="1"/>
      <c r="T22" s="1"/>
      <c r="U22" s="1"/>
      <c r="V22" s="1"/>
    </row>
    <row r="23" spans="1:22" ht="15" customHeight="1" x14ac:dyDescent="0.45">
      <c r="A23" s="1">
        <v>10</v>
      </c>
      <c r="B23" s="2" t="s">
        <v>9</v>
      </c>
      <c r="C23" s="1"/>
      <c r="D23" s="1"/>
      <c r="E23" s="1"/>
      <c r="F23" s="1"/>
      <c r="G23" s="1"/>
      <c r="H23" s="1"/>
      <c r="I23" s="1"/>
      <c r="J23" s="10">
        <v>0</v>
      </c>
      <c r="K23" s="1"/>
      <c r="L23" s="1"/>
      <c r="M23" s="1"/>
      <c r="N23" s="1"/>
      <c r="O23" s="119"/>
      <c r="P23" s="119"/>
      <c r="Q23" s="119"/>
      <c r="R23" s="119"/>
      <c r="S23" s="119"/>
      <c r="T23" s="119"/>
      <c r="U23" s="119"/>
      <c r="V23" s="1"/>
    </row>
    <row r="24" spans="1:22" ht="4.5" customHeight="1" x14ac:dyDescent="0.45">
      <c r="A24" s="1"/>
      <c r="B24" s="2"/>
      <c r="C24" s="1"/>
      <c r="D24" s="1"/>
      <c r="E24" s="1"/>
      <c r="F24" s="1"/>
      <c r="G24" s="1"/>
      <c r="H24" s="1"/>
      <c r="I24" s="1"/>
      <c r="J24" s="1"/>
      <c r="K24" s="1"/>
      <c r="L24" s="1"/>
      <c r="M24" s="1"/>
      <c r="N24" s="1"/>
      <c r="O24" s="119"/>
      <c r="P24" s="119"/>
      <c r="Q24" s="119"/>
      <c r="R24" s="119"/>
      <c r="S24" s="119"/>
      <c r="T24" s="119"/>
      <c r="U24" s="119"/>
      <c r="V24" s="1"/>
    </row>
    <row r="25" spans="1:22" ht="15" customHeight="1" x14ac:dyDescent="0.45">
      <c r="A25" s="1">
        <v>11</v>
      </c>
      <c r="B25" s="2" t="s">
        <v>31</v>
      </c>
      <c r="C25" s="1"/>
      <c r="D25" s="1"/>
      <c r="E25" s="1"/>
      <c r="F25" s="1"/>
      <c r="G25" s="1"/>
      <c r="H25" s="1"/>
      <c r="I25" s="1"/>
      <c r="J25" s="26">
        <v>2374</v>
      </c>
      <c r="K25" s="1"/>
      <c r="L25" s="1"/>
      <c r="M25" s="1"/>
      <c r="N25" s="1"/>
      <c r="O25" s="119"/>
      <c r="P25" s="120"/>
      <c r="Q25" s="119"/>
      <c r="R25" s="119"/>
      <c r="S25" s="119"/>
      <c r="T25" s="119"/>
      <c r="U25" s="119"/>
      <c r="V25" s="1"/>
    </row>
    <row r="26" spans="1:22" ht="4.5" customHeight="1" x14ac:dyDescent="0.45">
      <c r="A26" s="1"/>
      <c r="B26" s="2"/>
      <c r="C26" s="1"/>
      <c r="D26" s="1"/>
      <c r="E26" s="1"/>
      <c r="F26" s="1"/>
      <c r="G26" s="1"/>
      <c r="H26" s="1"/>
      <c r="I26" s="1"/>
      <c r="J26" s="1"/>
      <c r="K26" s="1"/>
      <c r="L26" s="1"/>
      <c r="M26" s="1"/>
      <c r="N26" s="1"/>
      <c r="O26" s="119"/>
      <c r="P26" s="119"/>
      <c r="Q26" s="119"/>
      <c r="R26" s="119"/>
      <c r="S26" s="119"/>
      <c r="T26" s="119"/>
      <c r="U26" s="119"/>
      <c r="V26" s="1"/>
    </row>
    <row r="27" spans="1:22" ht="15" customHeight="1" x14ac:dyDescent="0.45">
      <c r="A27" s="1">
        <v>12</v>
      </c>
      <c r="B27" s="2" t="s">
        <v>9</v>
      </c>
      <c r="C27" s="1"/>
      <c r="D27" s="1"/>
      <c r="E27" s="1"/>
      <c r="F27" s="1"/>
      <c r="G27" s="1"/>
      <c r="H27" s="1"/>
      <c r="I27" s="1"/>
      <c r="J27" s="10">
        <v>0</v>
      </c>
      <c r="K27" s="1"/>
      <c r="L27" s="1"/>
      <c r="M27" s="1"/>
      <c r="N27" s="1"/>
      <c r="O27" s="119"/>
      <c r="P27" s="121"/>
      <c r="Q27" s="119"/>
      <c r="R27" s="119"/>
      <c r="S27" s="119"/>
      <c r="T27" s="119"/>
      <c r="U27" s="119"/>
      <c r="V27" s="1"/>
    </row>
    <row r="28" spans="1:22" ht="4.5" customHeight="1" x14ac:dyDescent="0.45">
      <c r="A28" s="1"/>
      <c r="B28" s="1"/>
      <c r="C28" s="1"/>
      <c r="D28" s="1"/>
      <c r="E28" s="1"/>
      <c r="F28" s="1"/>
      <c r="G28" s="1"/>
      <c r="H28" s="1"/>
      <c r="I28" s="1"/>
      <c r="J28" s="1"/>
      <c r="K28" s="1"/>
      <c r="L28" s="1"/>
      <c r="M28" s="1"/>
      <c r="N28" s="1"/>
      <c r="O28" s="119"/>
      <c r="P28" s="119"/>
      <c r="Q28" s="119"/>
      <c r="R28" s="119"/>
      <c r="S28" s="119"/>
      <c r="T28" s="119"/>
      <c r="U28" s="119"/>
      <c r="V28" s="1"/>
    </row>
    <row r="29" spans="1:22" ht="15" customHeight="1" x14ac:dyDescent="0.45">
      <c r="A29" s="1">
        <v>13</v>
      </c>
      <c r="B29" s="2" t="s">
        <v>32</v>
      </c>
      <c r="C29" s="1"/>
      <c r="D29" s="1"/>
      <c r="E29" s="1"/>
      <c r="F29" s="1"/>
      <c r="G29" s="1"/>
      <c r="H29" s="1"/>
      <c r="I29" s="1"/>
      <c r="J29" s="26">
        <v>2324</v>
      </c>
      <c r="K29" s="1"/>
      <c r="L29" s="1"/>
      <c r="M29" s="1"/>
      <c r="N29" s="1"/>
      <c r="O29" s="119"/>
      <c r="P29" s="121"/>
      <c r="Q29" s="119"/>
      <c r="R29" s="119"/>
      <c r="S29" s="119"/>
      <c r="T29" s="119"/>
      <c r="U29" s="119"/>
      <c r="V29" s="1"/>
    </row>
    <row r="30" spans="1:22" ht="4.5" customHeight="1" x14ac:dyDescent="0.45">
      <c r="A30" s="1"/>
      <c r="B30" s="1"/>
      <c r="C30" s="1"/>
      <c r="D30" s="1"/>
      <c r="E30" s="1"/>
      <c r="F30" s="1"/>
      <c r="G30" s="1"/>
      <c r="H30" s="1"/>
      <c r="I30" s="1"/>
      <c r="J30" s="1"/>
      <c r="K30" s="1"/>
      <c r="L30" s="6"/>
      <c r="M30" s="7"/>
      <c r="N30" s="6"/>
      <c r="O30" s="119"/>
      <c r="P30" s="119"/>
      <c r="Q30" s="119"/>
      <c r="R30" s="119"/>
      <c r="S30" s="119"/>
      <c r="T30" s="119"/>
      <c r="U30" s="119"/>
      <c r="V30" s="1"/>
    </row>
    <row r="31" spans="1:22" ht="15" customHeight="1" x14ac:dyDescent="0.45">
      <c r="A31" s="1">
        <v>14</v>
      </c>
      <c r="B31" s="2" t="s">
        <v>33</v>
      </c>
      <c r="C31" s="1"/>
      <c r="D31" s="1"/>
      <c r="E31" s="1"/>
      <c r="F31" s="1"/>
      <c r="G31" s="1"/>
      <c r="H31" s="1"/>
      <c r="I31" s="19" t="s">
        <v>34</v>
      </c>
      <c r="J31" s="26">
        <v>2323</v>
      </c>
      <c r="K31" s="1"/>
      <c r="L31" s="6"/>
      <c r="M31" s="7"/>
      <c r="N31" s="6"/>
      <c r="O31" s="122"/>
      <c r="P31" s="123"/>
      <c r="Q31" s="122"/>
      <c r="R31" s="124"/>
      <c r="S31" s="122"/>
      <c r="T31" s="124"/>
      <c r="U31" s="119"/>
      <c r="V31" s="1"/>
    </row>
    <row r="32" spans="1:22" ht="4.5" customHeight="1" x14ac:dyDescent="0.45">
      <c r="A32" s="1"/>
      <c r="B32" s="1"/>
      <c r="C32" s="1"/>
      <c r="D32" s="1"/>
      <c r="E32" s="1"/>
      <c r="F32" s="1"/>
      <c r="G32" s="1"/>
      <c r="H32" s="1"/>
      <c r="I32" s="19"/>
      <c r="J32" s="1"/>
      <c r="K32" s="1"/>
      <c r="L32" s="6"/>
      <c r="M32" s="7"/>
      <c r="N32" s="6"/>
      <c r="O32" s="124"/>
      <c r="P32" s="124"/>
      <c r="Q32" s="124"/>
      <c r="R32" s="124"/>
      <c r="S32" s="124"/>
      <c r="T32" s="124"/>
      <c r="U32" s="124"/>
      <c r="V32" s="1"/>
    </row>
    <row r="33" spans="1:22" ht="15" customHeight="1" x14ac:dyDescent="0.45">
      <c r="A33" s="1"/>
      <c r="B33" s="1"/>
      <c r="C33" s="1"/>
      <c r="D33" s="1"/>
      <c r="E33" s="1"/>
      <c r="F33" s="1"/>
      <c r="G33" s="1"/>
      <c r="H33" s="1"/>
      <c r="I33" s="19" t="s">
        <v>35</v>
      </c>
      <c r="J33" s="26">
        <v>2447</v>
      </c>
      <c r="K33" s="1"/>
      <c r="L33" s="6"/>
      <c r="M33" s="7"/>
      <c r="N33" s="6"/>
      <c r="O33" s="7"/>
      <c r="P33" s="7"/>
      <c r="Q33" s="7"/>
      <c r="R33" s="6"/>
      <c r="S33" s="7"/>
      <c r="T33" s="6"/>
      <c r="U33" s="1"/>
      <c r="V33" s="1"/>
    </row>
    <row r="34" spans="1:22" ht="4.5" customHeight="1" x14ac:dyDescent="0.45">
      <c r="A34" s="1"/>
      <c r="B34" s="2"/>
      <c r="C34" s="1"/>
      <c r="D34" s="1"/>
      <c r="E34" s="1"/>
      <c r="F34" s="1"/>
      <c r="G34" s="1"/>
      <c r="H34" s="1"/>
      <c r="I34" s="19"/>
      <c r="J34" s="1"/>
      <c r="K34" s="1"/>
      <c r="L34" s="1"/>
      <c r="M34" s="1"/>
      <c r="N34" s="1"/>
      <c r="O34" s="1"/>
      <c r="P34" s="1"/>
      <c r="Q34" s="1"/>
      <c r="R34" s="1"/>
      <c r="S34" s="1"/>
      <c r="T34" s="1"/>
      <c r="U34" s="1"/>
      <c r="V34" s="1"/>
    </row>
    <row r="35" spans="1:22" ht="15" customHeight="1" x14ac:dyDescent="0.45">
      <c r="A35" s="1">
        <v>15</v>
      </c>
      <c r="B35" s="2" t="s">
        <v>36</v>
      </c>
      <c r="C35" s="1"/>
      <c r="D35" s="1"/>
      <c r="E35" s="1"/>
      <c r="F35" s="1"/>
      <c r="G35" s="1"/>
      <c r="H35" s="1"/>
      <c r="I35" s="19" t="s">
        <v>34</v>
      </c>
      <c r="J35" s="26">
        <v>2272</v>
      </c>
      <c r="K35" s="1"/>
      <c r="L35" s="1"/>
      <c r="M35" s="1"/>
      <c r="N35" s="1"/>
      <c r="O35" s="8"/>
      <c r="P35" s="118"/>
      <c r="Q35" s="118"/>
      <c r="R35" s="1"/>
      <c r="S35" s="1"/>
      <c r="T35" s="1"/>
      <c r="U35" s="1"/>
      <c r="V35" s="1"/>
    </row>
    <row r="36" spans="1:22" ht="4.5" customHeight="1" x14ac:dyDescent="0.45">
      <c r="A36" s="1"/>
      <c r="B36" s="1"/>
      <c r="C36" s="1"/>
      <c r="D36" s="1"/>
      <c r="E36" s="1"/>
      <c r="F36" s="1"/>
      <c r="G36" s="1"/>
      <c r="H36" s="1"/>
      <c r="I36" s="19"/>
      <c r="J36" s="1"/>
      <c r="K36" s="1"/>
      <c r="L36" s="1"/>
      <c r="M36" s="1"/>
      <c r="N36" s="1"/>
      <c r="O36" s="1"/>
      <c r="P36" s="1"/>
      <c r="Q36" s="1"/>
      <c r="R36" s="1"/>
      <c r="S36" s="1"/>
      <c r="T36" s="1"/>
      <c r="U36" s="1"/>
      <c r="V36" s="1"/>
    </row>
    <row r="37" spans="1:22" ht="15" customHeight="1" x14ac:dyDescent="0.45">
      <c r="A37" s="1"/>
      <c r="B37" s="1"/>
      <c r="C37" s="1"/>
      <c r="D37" s="1"/>
      <c r="E37" s="1"/>
      <c r="F37" s="1"/>
      <c r="G37" s="1"/>
      <c r="H37" s="1"/>
      <c r="I37" s="19" t="s">
        <v>35</v>
      </c>
      <c r="J37" s="26">
        <v>2397</v>
      </c>
      <c r="K37" s="1"/>
      <c r="L37" s="1"/>
      <c r="M37" s="1"/>
      <c r="N37" s="1"/>
      <c r="O37" s="1"/>
      <c r="P37" s="1"/>
      <c r="Q37" s="1"/>
      <c r="R37" s="1"/>
      <c r="S37" s="1"/>
      <c r="T37" s="1"/>
      <c r="U37" s="1"/>
      <c r="V37" s="1"/>
    </row>
    <row r="38" spans="1:22" ht="4.5" customHeight="1" x14ac:dyDescent="0.45">
      <c r="A38" s="1"/>
      <c r="B38" s="1"/>
      <c r="C38" s="1"/>
      <c r="D38" s="1"/>
      <c r="E38" s="1"/>
      <c r="F38" s="1"/>
      <c r="G38" s="1"/>
      <c r="H38" s="1"/>
      <c r="I38" s="1"/>
      <c r="J38" s="1"/>
      <c r="K38" s="1"/>
      <c r="L38" s="1"/>
      <c r="M38" s="1"/>
      <c r="N38" s="1"/>
      <c r="O38" s="1"/>
      <c r="P38" s="1"/>
      <c r="Q38" s="1"/>
      <c r="R38" s="1"/>
      <c r="S38" s="1"/>
      <c r="T38" s="1"/>
      <c r="U38" s="1"/>
      <c r="V38" s="1"/>
    </row>
    <row r="39" spans="1:22" ht="15" customHeight="1" x14ac:dyDescent="0.45">
      <c r="A39" s="1">
        <v>16</v>
      </c>
      <c r="B39" s="2" t="s">
        <v>37</v>
      </c>
      <c r="C39" s="1"/>
      <c r="D39" s="1"/>
      <c r="E39" s="1"/>
      <c r="F39" s="1"/>
      <c r="G39" s="1"/>
      <c r="H39" s="1"/>
      <c r="I39" s="1"/>
      <c r="J39" s="1"/>
      <c r="K39" s="1"/>
      <c r="L39" s="24"/>
      <c r="M39" s="1"/>
      <c r="N39" s="24" t="s">
        <v>38</v>
      </c>
      <c r="O39" s="1" t="s">
        <v>37</v>
      </c>
      <c r="P39" s="1"/>
      <c r="Q39" s="1"/>
      <c r="R39" s="1"/>
      <c r="S39" s="1"/>
      <c r="T39" s="1"/>
      <c r="U39" s="1"/>
      <c r="V39" s="1"/>
    </row>
    <row r="40" spans="1:22" ht="4.5" customHeight="1" x14ac:dyDescent="0.45">
      <c r="A40" s="1"/>
      <c r="B40" s="1"/>
      <c r="C40" s="1"/>
      <c r="D40" s="1"/>
      <c r="E40" s="1"/>
      <c r="F40" s="1"/>
      <c r="G40" s="1"/>
      <c r="H40" s="1"/>
      <c r="I40" s="1"/>
      <c r="J40" s="1"/>
      <c r="K40" s="1"/>
      <c r="L40" s="1"/>
      <c r="M40" s="1"/>
      <c r="N40" s="1"/>
      <c r="O40" s="1"/>
      <c r="P40" s="1"/>
      <c r="Q40" s="1"/>
      <c r="R40" s="1"/>
      <c r="S40" s="1"/>
      <c r="T40" s="1"/>
      <c r="U40" s="1"/>
      <c r="V40" s="1"/>
    </row>
    <row r="41" spans="1:22" ht="15" customHeight="1" x14ac:dyDescent="0.45">
      <c r="A41" s="1"/>
      <c r="B41" s="85" t="s">
        <v>112</v>
      </c>
      <c r="C41" s="86"/>
      <c r="D41" s="86"/>
      <c r="E41" s="86"/>
      <c r="F41" s="86"/>
      <c r="G41" s="86"/>
      <c r="H41" s="86"/>
      <c r="I41" s="86"/>
      <c r="J41" s="87"/>
      <c r="K41" s="1"/>
      <c r="L41" s="1"/>
      <c r="M41" s="1"/>
      <c r="N41" s="85" t="s">
        <v>111</v>
      </c>
      <c r="O41" s="86"/>
      <c r="P41" s="86"/>
      <c r="Q41" s="86"/>
      <c r="R41" s="86"/>
      <c r="S41" s="86"/>
      <c r="T41" s="86"/>
      <c r="U41" s="87"/>
      <c r="V41" s="1"/>
    </row>
    <row r="42" spans="1:22" ht="15" customHeight="1" x14ac:dyDescent="0.45">
      <c r="A42" s="1"/>
      <c r="B42" s="88"/>
      <c r="C42" s="89"/>
      <c r="D42" s="89"/>
      <c r="E42" s="89"/>
      <c r="F42" s="89"/>
      <c r="G42" s="89"/>
      <c r="H42" s="89"/>
      <c r="I42" s="89"/>
      <c r="J42" s="90"/>
      <c r="K42" s="1"/>
      <c r="L42" s="1"/>
      <c r="M42" s="1"/>
      <c r="N42" s="88"/>
      <c r="O42" s="89"/>
      <c r="P42" s="89"/>
      <c r="Q42" s="89"/>
      <c r="R42" s="89"/>
      <c r="S42" s="89"/>
      <c r="T42" s="89"/>
      <c r="U42" s="90"/>
      <c r="V42" s="1"/>
    </row>
    <row r="43" spans="1:22" ht="15" customHeight="1" x14ac:dyDescent="0.45">
      <c r="A43" s="1"/>
      <c r="B43" s="88"/>
      <c r="C43" s="89"/>
      <c r="D43" s="89"/>
      <c r="E43" s="89"/>
      <c r="F43" s="89"/>
      <c r="G43" s="89"/>
      <c r="H43" s="89"/>
      <c r="I43" s="89"/>
      <c r="J43" s="90"/>
      <c r="K43" s="1"/>
      <c r="L43" s="1"/>
      <c r="M43" s="1"/>
      <c r="N43" s="88"/>
      <c r="O43" s="89"/>
      <c r="P43" s="89"/>
      <c r="Q43" s="89"/>
      <c r="R43" s="89"/>
      <c r="S43" s="89"/>
      <c r="T43" s="89"/>
      <c r="U43" s="90"/>
      <c r="V43" s="1"/>
    </row>
    <row r="44" spans="1:22" ht="15" customHeight="1" x14ac:dyDescent="0.45">
      <c r="A44" s="1"/>
      <c r="B44" s="88"/>
      <c r="C44" s="89"/>
      <c r="D44" s="89"/>
      <c r="E44" s="89"/>
      <c r="F44" s="89"/>
      <c r="G44" s="89"/>
      <c r="H44" s="89"/>
      <c r="I44" s="89"/>
      <c r="J44" s="90"/>
      <c r="K44" s="1"/>
      <c r="L44" s="1"/>
      <c r="M44" s="1"/>
      <c r="N44" s="88"/>
      <c r="O44" s="89"/>
      <c r="P44" s="89"/>
      <c r="Q44" s="89"/>
      <c r="R44" s="89"/>
      <c r="S44" s="89"/>
      <c r="T44" s="89"/>
      <c r="U44" s="90"/>
      <c r="V44" s="1"/>
    </row>
    <row r="45" spans="1:22" ht="15" customHeight="1" x14ac:dyDescent="0.45">
      <c r="A45" s="1"/>
      <c r="B45" s="88"/>
      <c r="C45" s="89"/>
      <c r="D45" s="89"/>
      <c r="E45" s="89"/>
      <c r="F45" s="89"/>
      <c r="G45" s="89"/>
      <c r="H45" s="89"/>
      <c r="I45" s="89"/>
      <c r="J45" s="90"/>
      <c r="K45" s="1"/>
      <c r="L45" s="1"/>
      <c r="M45" s="1"/>
      <c r="N45" s="88"/>
      <c r="O45" s="89"/>
      <c r="P45" s="89"/>
      <c r="Q45" s="89"/>
      <c r="R45" s="89"/>
      <c r="S45" s="89"/>
      <c r="T45" s="89"/>
      <c r="U45" s="90"/>
      <c r="V45" s="1"/>
    </row>
    <row r="46" spans="1:22" ht="15" customHeight="1" x14ac:dyDescent="0.45">
      <c r="A46" s="1"/>
      <c r="B46" s="88"/>
      <c r="C46" s="89"/>
      <c r="D46" s="89"/>
      <c r="E46" s="89"/>
      <c r="F46" s="89"/>
      <c r="G46" s="89"/>
      <c r="H46" s="89"/>
      <c r="I46" s="89"/>
      <c r="J46" s="90"/>
      <c r="K46" s="1"/>
      <c r="L46" s="1"/>
      <c r="M46" s="1"/>
      <c r="N46" s="88"/>
      <c r="O46" s="89"/>
      <c r="P46" s="89"/>
      <c r="Q46" s="89"/>
      <c r="R46" s="89"/>
      <c r="S46" s="89"/>
      <c r="T46" s="89"/>
      <c r="U46" s="90"/>
      <c r="V46" s="1"/>
    </row>
    <row r="47" spans="1:22" ht="15" customHeight="1" x14ac:dyDescent="0.45">
      <c r="A47" s="1"/>
      <c r="B47" s="88"/>
      <c r="C47" s="89"/>
      <c r="D47" s="89"/>
      <c r="E47" s="89"/>
      <c r="F47" s="89"/>
      <c r="G47" s="89"/>
      <c r="H47" s="89"/>
      <c r="I47" s="89"/>
      <c r="J47" s="90"/>
      <c r="K47" s="1"/>
      <c r="L47" s="1"/>
      <c r="M47" s="1"/>
      <c r="N47" s="88"/>
      <c r="O47" s="89"/>
      <c r="P47" s="89"/>
      <c r="Q47" s="89"/>
      <c r="R47" s="89"/>
      <c r="S47" s="89"/>
      <c r="T47" s="89"/>
      <c r="U47" s="90"/>
      <c r="V47" s="1"/>
    </row>
    <row r="48" spans="1:22" ht="15" customHeight="1" x14ac:dyDescent="0.45">
      <c r="A48" s="1"/>
      <c r="B48" s="91"/>
      <c r="C48" s="92"/>
      <c r="D48" s="92"/>
      <c r="E48" s="92"/>
      <c r="F48" s="92"/>
      <c r="G48" s="92"/>
      <c r="H48" s="92"/>
      <c r="I48" s="92"/>
      <c r="J48" s="93"/>
      <c r="K48" s="1"/>
      <c r="L48" s="1"/>
      <c r="M48" s="1"/>
      <c r="N48" s="91"/>
      <c r="O48" s="92"/>
      <c r="P48" s="92"/>
      <c r="Q48" s="92"/>
      <c r="R48" s="92"/>
      <c r="S48" s="92"/>
      <c r="T48" s="92"/>
      <c r="U48" s="93"/>
      <c r="V48" s="1"/>
    </row>
    <row r="49" spans="1:22" x14ac:dyDescent="0.45">
      <c r="A49" s="1"/>
      <c r="B49" s="1"/>
      <c r="C49" s="1"/>
      <c r="D49" s="1"/>
      <c r="E49" s="1"/>
      <c r="F49" s="1"/>
      <c r="G49" s="1"/>
      <c r="H49" s="1"/>
      <c r="I49" s="1"/>
      <c r="J49" s="1"/>
      <c r="K49" s="1"/>
      <c r="L49" s="1"/>
      <c r="M49" s="1"/>
      <c r="N49" s="1"/>
      <c r="O49" s="1"/>
      <c r="P49" s="1"/>
      <c r="Q49" s="1"/>
      <c r="R49" s="1"/>
      <c r="S49" s="1"/>
      <c r="T49" s="1"/>
      <c r="U49" s="1"/>
      <c r="V49" s="1"/>
    </row>
    <row r="50" spans="1:22" ht="10.5" customHeight="1" x14ac:dyDescent="0.45">
      <c r="A50" s="1"/>
      <c r="B50" s="1"/>
      <c r="C50" s="1"/>
      <c r="D50" s="1"/>
      <c r="E50" s="1"/>
      <c r="F50" s="1"/>
      <c r="G50" s="1"/>
      <c r="H50" s="1"/>
      <c r="I50" s="1"/>
      <c r="J50" s="1"/>
      <c r="K50" s="1"/>
      <c r="L50" s="1"/>
      <c r="M50" s="1"/>
      <c r="N50" s="1"/>
      <c r="O50" s="1"/>
      <c r="P50" s="1"/>
      <c r="Q50" s="1"/>
      <c r="R50" s="1"/>
      <c r="S50" s="1"/>
      <c r="T50" s="1"/>
      <c r="U50" s="1"/>
      <c r="V50" s="1"/>
    </row>
    <row r="51" spans="1:22" x14ac:dyDescent="0.45">
      <c r="A51" s="1"/>
      <c r="B51" s="1"/>
      <c r="C51" s="1"/>
      <c r="D51" s="1"/>
      <c r="E51" s="1"/>
      <c r="F51" s="1"/>
      <c r="G51" s="1"/>
      <c r="H51" s="1"/>
      <c r="I51" s="1"/>
      <c r="J51" s="1"/>
      <c r="K51" s="1"/>
      <c r="L51" s="1"/>
      <c r="M51" s="1"/>
      <c r="N51" s="1"/>
      <c r="O51" s="1"/>
      <c r="P51" s="1"/>
      <c r="Q51" s="1"/>
      <c r="R51" s="1"/>
      <c r="S51" s="1"/>
      <c r="T51" s="1"/>
      <c r="U51" s="1"/>
      <c r="V51" s="1"/>
    </row>
    <row r="52" spans="1:22" x14ac:dyDescent="0.45">
      <c r="A52" s="1"/>
      <c r="B52" s="1"/>
      <c r="C52" s="1"/>
      <c r="D52" s="1"/>
      <c r="E52" s="1"/>
      <c r="F52" s="1"/>
      <c r="G52" s="1"/>
      <c r="H52" s="1"/>
      <c r="I52" s="1"/>
      <c r="J52" s="1"/>
      <c r="K52" s="1"/>
      <c r="L52" s="1"/>
      <c r="M52" s="1"/>
      <c r="N52" s="1"/>
      <c r="O52" s="1"/>
      <c r="P52" s="1"/>
      <c r="Q52" s="1"/>
      <c r="R52" s="1"/>
      <c r="S52" s="1"/>
      <c r="T52" s="1"/>
      <c r="U52" s="1"/>
      <c r="V52" s="1"/>
    </row>
    <row r="53" spans="1:22" x14ac:dyDescent="0.45">
      <c r="A53" s="1"/>
      <c r="B53" s="1"/>
      <c r="C53" s="1"/>
      <c r="D53" s="1"/>
      <c r="E53" s="1"/>
      <c r="F53" s="1"/>
      <c r="G53" s="1"/>
      <c r="H53" s="1"/>
      <c r="I53" s="1"/>
      <c r="J53" s="1"/>
      <c r="K53" s="1"/>
      <c r="L53" s="1"/>
      <c r="M53" s="1"/>
      <c r="N53" s="1"/>
      <c r="O53" s="1"/>
      <c r="P53" s="1"/>
      <c r="Q53" s="1"/>
      <c r="R53" s="1"/>
      <c r="S53" s="1"/>
      <c r="T53" s="1"/>
      <c r="U53" s="1"/>
      <c r="V53" s="1"/>
    </row>
  </sheetData>
  <mergeCells count="3">
    <mergeCell ref="P35:Q35"/>
    <mergeCell ref="B41:J48"/>
    <mergeCell ref="N41:U4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F9E8B-CDEF-48B0-B37C-B667B634CFC5}">
  <sheetPr codeName="Sheet11"/>
  <dimension ref="A1:G38"/>
  <sheetViews>
    <sheetView workbookViewId="0">
      <selection activeCell="D3" sqref="D3"/>
    </sheetView>
  </sheetViews>
  <sheetFormatPr defaultRowHeight="14.25" x14ac:dyDescent="0.45"/>
  <sheetData>
    <row r="1" spans="1:7" x14ac:dyDescent="0.45">
      <c r="C1" t="s">
        <v>39</v>
      </c>
      <c r="E1" t="s">
        <v>40</v>
      </c>
    </row>
    <row r="2" spans="1:7" x14ac:dyDescent="0.45">
      <c r="A2" t="s">
        <v>41</v>
      </c>
      <c r="B2" t="s">
        <v>42</v>
      </c>
      <c r="C2" t="s">
        <v>43</v>
      </c>
      <c r="D2" t="s">
        <v>44</v>
      </c>
      <c r="E2" t="s">
        <v>45</v>
      </c>
      <c r="F2" t="s">
        <v>46</v>
      </c>
      <c r="G2" t="s">
        <v>47</v>
      </c>
    </row>
    <row r="3" spans="1:7" x14ac:dyDescent="0.45">
      <c r="A3">
        <v>2019</v>
      </c>
      <c r="B3">
        <v>1</v>
      </c>
      <c r="C3">
        <v>712</v>
      </c>
      <c r="D3">
        <v>674</v>
      </c>
      <c r="E3">
        <v>428</v>
      </c>
      <c r="F3">
        <v>563</v>
      </c>
      <c r="G3">
        <v>268</v>
      </c>
    </row>
    <row r="4" spans="1:7" x14ac:dyDescent="0.45">
      <c r="A4">
        <v>2019</v>
      </c>
      <c r="B4">
        <v>2</v>
      </c>
      <c r="C4">
        <v>712</v>
      </c>
      <c r="D4">
        <v>674</v>
      </c>
      <c r="E4">
        <v>428</v>
      </c>
      <c r="F4">
        <v>563</v>
      </c>
      <c r="G4">
        <v>268</v>
      </c>
    </row>
    <row r="5" spans="1:7" x14ac:dyDescent="0.45">
      <c r="A5">
        <v>2019</v>
      </c>
      <c r="B5">
        <v>3</v>
      </c>
      <c r="C5">
        <v>712</v>
      </c>
      <c r="D5">
        <v>674</v>
      </c>
      <c r="E5">
        <v>428</v>
      </c>
      <c r="F5">
        <v>563</v>
      </c>
      <c r="G5">
        <v>268</v>
      </c>
    </row>
    <row r="6" spans="1:7" x14ac:dyDescent="0.45">
      <c r="A6">
        <v>2019</v>
      </c>
      <c r="B6">
        <v>4</v>
      </c>
      <c r="C6">
        <v>712</v>
      </c>
      <c r="D6">
        <v>674</v>
      </c>
      <c r="E6">
        <v>428</v>
      </c>
      <c r="F6">
        <v>563</v>
      </c>
      <c r="G6">
        <v>268</v>
      </c>
    </row>
    <row r="7" spans="1:7" x14ac:dyDescent="0.45">
      <c r="A7">
        <v>2019</v>
      </c>
      <c r="B7">
        <v>5</v>
      </c>
      <c r="C7">
        <v>712</v>
      </c>
      <c r="D7">
        <v>674</v>
      </c>
      <c r="E7">
        <v>428</v>
      </c>
      <c r="F7">
        <v>563</v>
      </c>
      <c r="G7">
        <v>268</v>
      </c>
    </row>
    <row r="8" spans="1:7" x14ac:dyDescent="0.45">
      <c r="A8">
        <v>2019</v>
      </c>
      <c r="B8">
        <v>6</v>
      </c>
      <c r="C8">
        <v>712</v>
      </c>
      <c r="D8">
        <v>674</v>
      </c>
      <c r="E8">
        <v>428</v>
      </c>
      <c r="F8">
        <v>563</v>
      </c>
      <c r="G8">
        <v>268</v>
      </c>
    </row>
    <row r="9" spans="1:7" x14ac:dyDescent="0.45">
      <c r="A9">
        <v>2019</v>
      </c>
      <c r="B9">
        <v>7</v>
      </c>
      <c r="C9">
        <v>687</v>
      </c>
      <c r="D9">
        <v>664</v>
      </c>
      <c r="E9">
        <v>423</v>
      </c>
      <c r="F9">
        <v>563</v>
      </c>
      <c r="G9">
        <v>293</v>
      </c>
    </row>
    <row r="10" spans="1:7" x14ac:dyDescent="0.45">
      <c r="A10">
        <v>2019</v>
      </c>
      <c r="B10">
        <v>8</v>
      </c>
      <c r="C10">
        <v>687</v>
      </c>
      <c r="D10">
        <v>664</v>
      </c>
      <c r="E10">
        <v>423</v>
      </c>
      <c r="F10">
        <v>563</v>
      </c>
      <c r="G10">
        <v>293</v>
      </c>
    </row>
    <row r="11" spans="1:7" x14ac:dyDescent="0.45">
      <c r="A11">
        <v>2019</v>
      </c>
      <c r="B11">
        <v>9</v>
      </c>
      <c r="C11">
        <v>687</v>
      </c>
      <c r="D11">
        <v>664</v>
      </c>
      <c r="E11">
        <v>423</v>
      </c>
      <c r="F11">
        <v>563</v>
      </c>
      <c r="G11">
        <v>293</v>
      </c>
    </row>
    <row r="12" spans="1:7" x14ac:dyDescent="0.45">
      <c r="A12">
        <v>2019</v>
      </c>
      <c r="B12">
        <v>10</v>
      </c>
      <c r="C12">
        <v>687</v>
      </c>
      <c r="D12">
        <v>664</v>
      </c>
      <c r="E12">
        <v>423</v>
      </c>
      <c r="F12">
        <v>563</v>
      </c>
      <c r="G12">
        <v>293</v>
      </c>
    </row>
    <row r="13" spans="1:7" x14ac:dyDescent="0.45">
      <c r="A13">
        <v>2019</v>
      </c>
      <c r="B13">
        <v>11</v>
      </c>
      <c r="C13">
        <v>687</v>
      </c>
      <c r="D13">
        <v>664</v>
      </c>
      <c r="E13">
        <v>423</v>
      </c>
      <c r="F13">
        <v>563</v>
      </c>
      <c r="G13">
        <v>293</v>
      </c>
    </row>
    <row r="14" spans="1:7" x14ac:dyDescent="0.45">
      <c r="A14">
        <v>2019</v>
      </c>
      <c r="B14">
        <v>12</v>
      </c>
      <c r="C14">
        <v>687</v>
      </c>
      <c r="D14">
        <v>664</v>
      </c>
      <c r="E14">
        <v>423</v>
      </c>
      <c r="F14">
        <v>563</v>
      </c>
      <c r="G14">
        <v>293</v>
      </c>
    </row>
    <row r="15" spans="1:7" x14ac:dyDescent="0.45">
      <c r="A15">
        <v>2020</v>
      </c>
      <c r="B15">
        <v>1</v>
      </c>
      <c r="C15">
        <v>662</v>
      </c>
      <c r="D15">
        <v>674</v>
      </c>
      <c r="E15">
        <v>418</v>
      </c>
      <c r="F15">
        <v>563</v>
      </c>
      <c r="G15">
        <v>293</v>
      </c>
    </row>
    <row r="16" spans="1:7" x14ac:dyDescent="0.45">
      <c r="A16">
        <v>2020</v>
      </c>
      <c r="B16">
        <v>2</v>
      </c>
      <c r="C16">
        <v>662</v>
      </c>
      <c r="D16">
        <v>674</v>
      </c>
      <c r="E16">
        <v>418</v>
      </c>
      <c r="F16">
        <v>563</v>
      </c>
      <c r="G16">
        <v>293</v>
      </c>
    </row>
    <row r="17" spans="1:7" x14ac:dyDescent="0.45">
      <c r="A17">
        <v>2020</v>
      </c>
      <c r="B17">
        <v>3</v>
      </c>
      <c r="C17">
        <v>662</v>
      </c>
      <c r="D17">
        <v>674</v>
      </c>
      <c r="E17">
        <v>418</v>
      </c>
      <c r="F17">
        <v>563</v>
      </c>
      <c r="G17">
        <v>293</v>
      </c>
    </row>
    <row r="18" spans="1:7" x14ac:dyDescent="0.45">
      <c r="A18">
        <v>2020</v>
      </c>
      <c r="B18">
        <v>4</v>
      </c>
      <c r="C18">
        <v>662</v>
      </c>
      <c r="D18">
        <v>674</v>
      </c>
      <c r="E18">
        <v>418</v>
      </c>
      <c r="F18">
        <v>563</v>
      </c>
      <c r="G18">
        <v>293</v>
      </c>
    </row>
    <row r="19" spans="1:7" x14ac:dyDescent="0.45">
      <c r="A19">
        <v>2020</v>
      </c>
      <c r="B19">
        <v>5</v>
      </c>
      <c r="C19">
        <v>662</v>
      </c>
      <c r="D19">
        <v>674</v>
      </c>
      <c r="E19">
        <v>418</v>
      </c>
      <c r="F19">
        <v>563</v>
      </c>
      <c r="G19">
        <v>293</v>
      </c>
    </row>
    <row r="20" spans="1:7" x14ac:dyDescent="0.45">
      <c r="A20">
        <v>2020</v>
      </c>
      <c r="B20">
        <v>6</v>
      </c>
      <c r="C20">
        <v>662</v>
      </c>
      <c r="D20">
        <v>674</v>
      </c>
      <c r="E20">
        <v>418</v>
      </c>
      <c r="F20">
        <v>563</v>
      </c>
      <c r="G20">
        <v>293</v>
      </c>
    </row>
    <row r="21" spans="1:7" x14ac:dyDescent="0.45">
      <c r="A21">
        <v>2020</v>
      </c>
      <c r="B21">
        <v>7</v>
      </c>
      <c r="C21">
        <v>638</v>
      </c>
      <c r="D21">
        <v>649</v>
      </c>
      <c r="E21">
        <v>413</v>
      </c>
      <c r="F21">
        <v>578</v>
      </c>
      <c r="G21">
        <v>298</v>
      </c>
    </row>
    <row r="22" spans="1:7" x14ac:dyDescent="0.45">
      <c r="A22">
        <v>2020</v>
      </c>
      <c r="B22">
        <v>8</v>
      </c>
      <c r="C22">
        <v>638</v>
      </c>
      <c r="D22">
        <v>649</v>
      </c>
      <c r="E22">
        <v>413</v>
      </c>
      <c r="F22">
        <v>578</v>
      </c>
      <c r="G22">
        <v>298</v>
      </c>
    </row>
    <row r="23" spans="1:7" x14ac:dyDescent="0.45">
      <c r="A23">
        <v>2020</v>
      </c>
      <c r="B23">
        <v>9</v>
      </c>
      <c r="C23">
        <v>638</v>
      </c>
      <c r="D23">
        <v>649</v>
      </c>
      <c r="E23">
        <v>413</v>
      </c>
      <c r="F23">
        <v>578</v>
      </c>
      <c r="G23">
        <v>298</v>
      </c>
    </row>
    <row r="24" spans="1:7" x14ac:dyDescent="0.45">
      <c r="A24">
        <v>2020</v>
      </c>
      <c r="B24">
        <v>10</v>
      </c>
      <c r="C24">
        <v>638</v>
      </c>
      <c r="D24">
        <v>649</v>
      </c>
      <c r="E24">
        <v>413</v>
      </c>
      <c r="F24">
        <v>578</v>
      </c>
      <c r="G24">
        <v>298</v>
      </c>
    </row>
    <row r="25" spans="1:7" x14ac:dyDescent="0.45">
      <c r="A25">
        <v>2020</v>
      </c>
      <c r="B25">
        <v>11</v>
      </c>
      <c r="C25">
        <v>638</v>
      </c>
      <c r="D25">
        <v>649</v>
      </c>
      <c r="E25">
        <v>413</v>
      </c>
      <c r="F25">
        <v>578</v>
      </c>
      <c r="G25">
        <v>298</v>
      </c>
    </row>
    <row r="26" spans="1:7" x14ac:dyDescent="0.45">
      <c r="A26">
        <v>2020</v>
      </c>
      <c r="B26">
        <v>12</v>
      </c>
      <c r="C26">
        <v>638</v>
      </c>
      <c r="D26">
        <v>649</v>
      </c>
      <c r="E26">
        <v>413</v>
      </c>
      <c r="F26">
        <v>578</v>
      </c>
      <c r="G26">
        <v>298</v>
      </c>
    </row>
    <row r="27" spans="1:7" x14ac:dyDescent="0.45">
      <c r="A27">
        <v>2021</v>
      </c>
      <c r="B27">
        <v>1</v>
      </c>
      <c r="C27">
        <v>610</v>
      </c>
      <c r="D27">
        <v>639</v>
      </c>
      <c r="E27">
        <v>433</v>
      </c>
      <c r="F27">
        <v>578</v>
      </c>
      <c r="G27">
        <v>298</v>
      </c>
    </row>
    <row r="28" spans="1:7" x14ac:dyDescent="0.45">
      <c r="A28">
        <v>2021</v>
      </c>
      <c r="B28">
        <v>2</v>
      </c>
      <c r="C28">
        <v>610</v>
      </c>
      <c r="D28">
        <v>639</v>
      </c>
      <c r="E28">
        <v>433</v>
      </c>
      <c r="F28">
        <v>578</v>
      </c>
      <c r="G28">
        <v>298</v>
      </c>
    </row>
    <row r="29" spans="1:7" x14ac:dyDescent="0.45">
      <c r="A29">
        <v>2021</v>
      </c>
      <c r="B29">
        <v>3</v>
      </c>
      <c r="C29">
        <v>610</v>
      </c>
      <c r="D29">
        <v>639</v>
      </c>
      <c r="E29">
        <v>433</v>
      </c>
      <c r="F29">
        <v>578</v>
      </c>
      <c r="G29">
        <v>298</v>
      </c>
    </row>
    <row r="30" spans="1:7" x14ac:dyDescent="0.45">
      <c r="A30">
        <v>2021</v>
      </c>
      <c r="B30">
        <v>4</v>
      </c>
      <c r="C30">
        <v>610</v>
      </c>
      <c r="D30">
        <v>639</v>
      </c>
      <c r="E30">
        <v>433</v>
      </c>
      <c r="F30">
        <v>578</v>
      </c>
      <c r="G30">
        <v>298</v>
      </c>
    </row>
    <row r="31" spans="1:7" x14ac:dyDescent="0.45">
      <c r="A31">
        <v>2021</v>
      </c>
      <c r="B31">
        <v>5</v>
      </c>
      <c r="C31">
        <v>610</v>
      </c>
      <c r="D31">
        <v>639</v>
      </c>
      <c r="E31">
        <v>433</v>
      </c>
      <c r="F31">
        <v>578</v>
      </c>
      <c r="G31">
        <v>298</v>
      </c>
    </row>
    <row r="32" spans="1:7" x14ac:dyDescent="0.45">
      <c r="A32">
        <v>2021</v>
      </c>
      <c r="B32">
        <v>6</v>
      </c>
      <c r="C32">
        <v>610</v>
      </c>
      <c r="D32">
        <v>639</v>
      </c>
      <c r="E32">
        <v>433</v>
      </c>
      <c r="F32">
        <v>578</v>
      </c>
      <c r="G32">
        <v>298</v>
      </c>
    </row>
    <row r="33" spans="1:7" x14ac:dyDescent="0.45">
      <c r="A33">
        <v>2021</v>
      </c>
      <c r="B33">
        <v>7</v>
      </c>
      <c r="C33">
        <v>610</v>
      </c>
      <c r="D33">
        <v>639</v>
      </c>
      <c r="E33">
        <v>433</v>
      </c>
      <c r="F33">
        <v>578</v>
      </c>
      <c r="G33">
        <v>298</v>
      </c>
    </row>
    <row r="34" spans="1:7" x14ac:dyDescent="0.45">
      <c r="A34">
        <v>2021</v>
      </c>
      <c r="B34">
        <v>8</v>
      </c>
      <c r="C34">
        <v>630</v>
      </c>
      <c r="D34">
        <v>624</v>
      </c>
      <c r="E34">
        <v>433</v>
      </c>
      <c r="F34">
        <v>603</v>
      </c>
      <c r="G34">
        <v>288</v>
      </c>
    </row>
    <row r="35" spans="1:7" x14ac:dyDescent="0.45">
      <c r="A35">
        <v>2021</v>
      </c>
      <c r="B35">
        <v>9</v>
      </c>
      <c r="C35">
        <v>630</v>
      </c>
      <c r="D35">
        <v>624</v>
      </c>
      <c r="E35">
        <v>433</v>
      </c>
      <c r="F35">
        <v>603</v>
      </c>
      <c r="G35">
        <v>288</v>
      </c>
    </row>
    <row r="36" spans="1:7" x14ac:dyDescent="0.45">
      <c r="A36">
        <v>2021</v>
      </c>
      <c r="B36">
        <v>10</v>
      </c>
      <c r="C36">
        <v>630</v>
      </c>
      <c r="D36">
        <v>624</v>
      </c>
      <c r="E36">
        <v>433</v>
      </c>
      <c r="F36">
        <v>603</v>
      </c>
      <c r="G36">
        <v>288</v>
      </c>
    </row>
    <row r="37" spans="1:7" x14ac:dyDescent="0.45">
      <c r="A37">
        <v>2021</v>
      </c>
      <c r="B37">
        <v>11</v>
      </c>
      <c r="C37">
        <v>630</v>
      </c>
      <c r="D37">
        <v>624</v>
      </c>
      <c r="E37">
        <v>433</v>
      </c>
      <c r="F37">
        <v>603</v>
      </c>
      <c r="G37">
        <v>288</v>
      </c>
    </row>
    <row r="38" spans="1:7" x14ac:dyDescent="0.45">
      <c r="A38">
        <v>2021</v>
      </c>
      <c r="B38">
        <v>12</v>
      </c>
      <c r="C38">
        <v>630</v>
      </c>
      <c r="D38">
        <v>624</v>
      </c>
      <c r="E38">
        <v>433</v>
      </c>
      <c r="F38">
        <v>603</v>
      </c>
      <c r="G38">
        <v>288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77286-8DFD-461A-93BC-575A93B1304F}">
  <sheetPr codeName="Sheet2"/>
  <dimension ref="C3:Y26"/>
  <sheetViews>
    <sheetView workbookViewId="0">
      <selection activeCell="J27" sqref="J27"/>
    </sheetView>
  </sheetViews>
  <sheetFormatPr defaultRowHeight="14.25" x14ac:dyDescent="0.45"/>
  <cols>
    <col min="9" max="9" width="14.53125" customWidth="1"/>
    <col min="10" max="10" width="14.3984375" customWidth="1"/>
    <col min="13" max="13" width="10.53125" customWidth="1"/>
    <col min="14" max="14" width="10.73046875" customWidth="1"/>
    <col min="25" max="25" width="21.796875" bestFit="1" customWidth="1"/>
  </cols>
  <sheetData>
    <row r="3" spans="3:19" ht="15.75" x14ac:dyDescent="0.5">
      <c r="C3" s="30"/>
      <c r="D3" s="30"/>
      <c r="E3" s="30"/>
      <c r="F3" s="30"/>
      <c r="G3" s="30"/>
      <c r="H3" s="30"/>
      <c r="I3" s="30"/>
      <c r="J3" s="30"/>
      <c r="K3" s="30"/>
      <c r="L3" s="30"/>
      <c r="M3" s="30"/>
      <c r="N3" s="30"/>
      <c r="O3" s="30"/>
      <c r="P3" s="94" t="s">
        <v>94</v>
      </c>
      <c r="Q3" s="95"/>
      <c r="R3" s="95"/>
      <c r="S3" s="96"/>
    </row>
    <row r="4" spans="3:19" ht="15.75" x14ac:dyDescent="0.5">
      <c r="C4" s="101" t="s">
        <v>64</v>
      </c>
      <c r="D4" s="101"/>
      <c r="E4" s="30"/>
      <c r="F4" s="30"/>
      <c r="G4" s="94" t="s">
        <v>65</v>
      </c>
      <c r="H4" s="95"/>
      <c r="I4" s="95"/>
      <c r="J4" s="96"/>
      <c r="K4" s="59"/>
      <c r="L4" s="30"/>
      <c r="M4" s="101" t="s">
        <v>66</v>
      </c>
      <c r="N4" s="101"/>
      <c r="O4" s="30"/>
      <c r="P4" s="97"/>
      <c r="Q4" s="98"/>
      <c r="R4" s="98"/>
      <c r="S4" s="99"/>
    </row>
    <row r="5" spans="3:19" ht="15.75" x14ac:dyDescent="0.5">
      <c r="C5" s="101"/>
      <c r="D5" s="101"/>
      <c r="E5" s="30"/>
      <c r="F5" s="30"/>
      <c r="G5" s="97"/>
      <c r="H5" s="98"/>
      <c r="I5" s="98"/>
      <c r="J5" s="99"/>
      <c r="K5" s="59"/>
      <c r="L5" s="30"/>
      <c r="M5" s="101"/>
      <c r="N5" s="101"/>
      <c r="O5" s="30"/>
      <c r="P5" s="32"/>
      <c r="Q5" s="32" t="s">
        <v>45</v>
      </c>
      <c r="R5" s="32" t="s">
        <v>46</v>
      </c>
      <c r="S5" s="32" t="s">
        <v>47</v>
      </c>
    </row>
    <row r="6" spans="3:19" ht="15.75" x14ac:dyDescent="0.5">
      <c r="C6" s="32" t="s">
        <v>44</v>
      </c>
      <c r="D6" s="32" t="s">
        <v>43</v>
      </c>
      <c r="E6" s="30"/>
      <c r="F6" s="30"/>
      <c r="G6" s="32" t="s">
        <v>45</v>
      </c>
      <c r="H6" s="32" t="s">
        <v>46</v>
      </c>
      <c r="I6" s="32" t="s">
        <v>102</v>
      </c>
      <c r="J6" s="32" t="s">
        <v>103</v>
      </c>
      <c r="K6" s="33"/>
      <c r="L6" s="30"/>
      <c r="M6" s="32" t="s">
        <v>67</v>
      </c>
      <c r="N6" s="32" t="s">
        <v>68</v>
      </c>
      <c r="O6" s="30"/>
      <c r="P6" s="32" t="s">
        <v>44</v>
      </c>
      <c r="Q6" s="34">
        <f>User!R11</f>
        <v>1.8399999999999999</v>
      </c>
      <c r="R6" s="34">
        <f>User!R13</f>
        <v>2</v>
      </c>
      <c r="S6" s="34">
        <f>User!R15</f>
        <v>1.85</v>
      </c>
    </row>
    <row r="7" spans="3:19" ht="15.75" x14ac:dyDescent="0.5">
      <c r="C7" s="31">
        <f>IF($Y$26=1,User!$P$11,IF($Y$26=3,User!$P$11+User!$P$13,0))</f>
        <v>652</v>
      </c>
      <c r="D7" s="32">
        <f>IF($Y$26=1, User!$P$13, IF($Y$26=2, User!$P$11+User!$P$13, 0))</f>
        <v>624</v>
      </c>
      <c r="E7" s="30"/>
      <c r="F7" s="30"/>
      <c r="G7" s="32">
        <f>IF(OR($Y$24=1,$Y$24=3), User!$P$15, User!$P$15+User!$T$11)</f>
        <v>388</v>
      </c>
      <c r="H7" s="32">
        <f>IF(OR($Y$24=1, $Y$24=2),User!$P$17,User!$P$17+User!$T$13)</f>
        <v>538</v>
      </c>
      <c r="I7" s="32">
        <f>User!P19</f>
        <v>288</v>
      </c>
      <c r="J7" s="32">
        <f>IF((C7+D7)&gt;(G7+H7+I7),I7,IF((C7+D7)-(G7+H7)&gt;0,(C7+D7)-(G7+H7),0))</f>
        <v>288</v>
      </c>
      <c r="K7" s="30"/>
      <c r="L7" s="30"/>
      <c r="M7" s="35">
        <f>User!T15</f>
        <v>0</v>
      </c>
      <c r="N7" s="32">
        <f>IF($Y$25=1,User!$P$21, User!$P$21*2)</f>
        <v>354</v>
      </c>
      <c r="O7" s="30"/>
      <c r="P7" s="32" t="s">
        <v>43</v>
      </c>
      <c r="Q7" s="34">
        <f>User!R17</f>
        <v>2.06</v>
      </c>
      <c r="R7" s="34">
        <f>User!R19</f>
        <v>1.8</v>
      </c>
      <c r="S7" s="34">
        <f>User!R21</f>
        <v>1.75</v>
      </c>
    </row>
    <row r="8" spans="3:19" ht="15.75" x14ac:dyDescent="0.5">
      <c r="C8" s="30"/>
      <c r="D8" s="30"/>
      <c r="E8" s="30"/>
      <c r="F8" s="30"/>
      <c r="G8" s="30"/>
      <c r="H8" s="30"/>
      <c r="I8" s="30"/>
      <c r="J8" s="30"/>
      <c r="K8" s="30"/>
      <c r="L8" s="30"/>
      <c r="M8" s="30"/>
      <c r="N8" s="30"/>
      <c r="O8" s="30"/>
      <c r="P8" s="30"/>
      <c r="Q8" s="30"/>
      <c r="R8" s="30"/>
      <c r="S8" s="30"/>
    </row>
    <row r="9" spans="3:19" ht="15.75" x14ac:dyDescent="0.5">
      <c r="C9" s="30"/>
      <c r="D9" s="30"/>
      <c r="E9" s="30"/>
      <c r="F9" s="30"/>
      <c r="G9" s="30"/>
      <c r="H9" s="30"/>
      <c r="I9" s="30"/>
      <c r="J9" s="30"/>
      <c r="K9" s="30"/>
      <c r="L9" s="30"/>
      <c r="M9" s="30"/>
      <c r="N9" s="30"/>
      <c r="O9" s="30"/>
      <c r="P9" s="30"/>
      <c r="Q9" s="30"/>
      <c r="R9" s="30"/>
      <c r="S9" s="30"/>
    </row>
    <row r="10" spans="3:19" ht="15.75" x14ac:dyDescent="0.5">
      <c r="C10" s="30"/>
      <c r="D10" s="30"/>
      <c r="E10" s="30"/>
      <c r="F10" s="30"/>
      <c r="G10" s="30"/>
      <c r="H10" s="30"/>
      <c r="I10" s="30"/>
      <c r="J10" s="30"/>
      <c r="K10" s="30"/>
      <c r="L10" s="30"/>
      <c r="M10" s="30"/>
      <c r="N10" s="30"/>
      <c r="O10" s="30"/>
      <c r="P10" s="30"/>
      <c r="Q10" s="30"/>
      <c r="R10" s="30"/>
      <c r="S10" s="30"/>
    </row>
    <row r="11" spans="3:19" ht="15.75" x14ac:dyDescent="0.5">
      <c r="C11" s="100" t="s">
        <v>87</v>
      </c>
      <c r="D11" s="100"/>
      <c r="E11" s="100"/>
      <c r="F11" s="100"/>
      <c r="G11" s="100"/>
      <c r="H11" s="100"/>
      <c r="I11" s="100"/>
      <c r="J11" s="100"/>
      <c r="K11" s="100"/>
      <c r="L11" s="30"/>
      <c r="M11" s="30"/>
      <c r="N11" s="30"/>
      <c r="O11" s="30"/>
      <c r="P11" s="30"/>
      <c r="Q11" s="30"/>
      <c r="R11" s="30"/>
      <c r="S11" s="30"/>
    </row>
    <row r="12" spans="3:19" ht="15.75" x14ac:dyDescent="0.5">
      <c r="C12" s="100"/>
      <c r="D12" s="100"/>
      <c r="E12" s="100"/>
      <c r="F12" s="100"/>
      <c r="G12" s="100"/>
      <c r="H12" s="100"/>
      <c r="I12" s="100"/>
      <c r="J12" s="100"/>
      <c r="K12" s="100"/>
      <c r="L12" s="30"/>
      <c r="M12" s="30"/>
      <c r="N12" s="30"/>
      <c r="O12" s="30"/>
      <c r="P12" s="30"/>
      <c r="Q12" s="30"/>
      <c r="R12" s="30"/>
      <c r="S12" s="30"/>
    </row>
    <row r="13" spans="3:19" ht="15.75" x14ac:dyDescent="0.5">
      <c r="C13" s="30"/>
      <c r="D13" s="30"/>
      <c r="E13" s="30"/>
      <c r="F13" s="30"/>
      <c r="G13" s="30"/>
      <c r="H13" s="30"/>
      <c r="I13" s="30"/>
      <c r="J13" s="30"/>
      <c r="K13" s="30"/>
      <c r="L13" s="30"/>
      <c r="M13" s="30"/>
      <c r="N13" s="30"/>
      <c r="O13" s="30"/>
      <c r="P13" s="30"/>
      <c r="Q13" s="30"/>
      <c r="R13" s="30"/>
      <c r="S13" s="30"/>
    </row>
    <row r="14" spans="3:19" ht="15.75" x14ac:dyDescent="0.5">
      <c r="C14" s="30"/>
      <c r="D14" s="30"/>
      <c r="E14" s="30"/>
      <c r="F14" s="30"/>
      <c r="G14" s="30"/>
      <c r="H14" s="30"/>
      <c r="I14" s="30"/>
      <c r="J14" s="30"/>
      <c r="K14" s="30"/>
      <c r="L14" s="30"/>
      <c r="M14" s="30"/>
      <c r="N14" s="30"/>
      <c r="O14" s="30"/>
      <c r="P14" s="30"/>
      <c r="Q14" s="30"/>
      <c r="R14" s="30"/>
      <c r="S14" s="30"/>
    </row>
    <row r="15" spans="3:19" ht="15.75" x14ac:dyDescent="0.5">
      <c r="C15" s="30"/>
      <c r="D15" s="30"/>
      <c r="E15" s="30"/>
      <c r="F15" s="30"/>
      <c r="G15" s="30"/>
      <c r="H15" s="30"/>
      <c r="I15" s="30"/>
      <c r="J15" s="30"/>
      <c r="K15" s="30"/>
      <c r="L15" s="30"/>
      <c r="M15" s="30"/>
      <c r="N15" s="30"/>
      <c r="O15" s="30"/>
      <c r="P15" s="30"/>
      <c r="Q15" s="30"/>
      <c r="R15" s="30" t="s">
        <v>88</v>
      </c>
      <c r="S15" s="30"/>
    </row>
    <row r="16" spans="3:19" ht="15.75" x14ac:dyDescent="0.5">
      <c r="C16" s="30"/>
      <c r="D16" s="30"/>
      <c r="E16" s="30"/>
      <c r="F16" s="30"/>
      <c r="G16" s="30"/>
      <c r="H16" s="30"/>
      <c r="I16" s="30"/>
      <c r="J16" s="30"/>
      <c r="K16" s="30"/>
      <c r="L16" s="30"/>
      <c r="M16" s="30"/>
      <c r="N16" s="30"/>
      <c r="O16" s="30"/>
      <c r="P16" s="30"/>
      <c r="Q16" s="30"/>
      <c r="R16" s="30"/>
      <c r="S16" s="30"/>
    </row>
    <row r="17" spans="3:25" ht="15.75" x14ac:dyDescent="0.5">
      <c r="C17" s="30"/>
      <c r="D17" s="30"/>
      <c r="E17" s="30"/>
      <c r="F17" s="30"/>
      <c r="G17" s="30"/>
      <c r="H17" s="30"/>
      <c r="I17" s="30"/>
      <c r="J17" s="30"/>
      <c r="K17" s="30"/>
      <c r="L17" s="30"/>
      <c r="M17" s="30"/>
      <c r="N17" s="30"/>
      <c r="O17" s="30"/>
      <c r="P17" s="30"/>
      <c r="Q17" s="30"/>
      <c r="R17" s="30"/>
      <c r="S17" s="30"/>
    </row>
    <row r="18" spans="3:25" ht="15.75" x14ac:dyDescent="0.5">
      <c r="C18" s="30"/>
      <c r="D18" s="30"/>
      <c r="E18" s="30"/>
      <c r="F18" s="30"/>
      <c r="G18" s="30"/>
      <c r="H18" s="30"/>
      <c r="I18" s="30"/>
      <c r="J18" s="30"/>
      <c r="K18" s="30"/>
      <c r="L18" s="30"/>
      <c r="M18" s="30"/>
      <c r="N18" s="30"/>
      <c r="O18" s="30"/>
      <c r="P18" s="30"/>
      <c r="Q18" s="30"/>
      <c r="R18" s="30"/>
      <c r="S18" s="30"/>
    </row>
    <row r="19" spans="3:25" ht="15.75" x14ac:dyDescent="0.5">
      <c r="C19" s="30"/>
      <c r="D19" s="30"/>
      <c r="E19" s="30"/>
      <c r="F19" s="30"/>
      <c r="G19" s="30"/>
      <c r="H19" s="30"/>
      <c r="I19" s="30"/>
      <c r="J19" s="30"/>
      <c r="K19" s="30"/>
      <c r="L19" s="30"/>
      <c r="M19" s="30"/>
      <c r="N19" s="30"/>
      <c r="O19" s="30"/>
      <c r="P19" s="30"/>
      <c r="Q19" s="30"/>
      <c r="R19" s="30"/>
      <c r="S19" s="30"/>
    </row>
    <row r="20" spans="3:25" ht="15.75" x14ac:dyDescent="0.5">
      <c r="C20" s="30"/>
      <c r="D20" s="30"/>
      <c r="E20" s="30"/>
      <c r="F20" s="30"/>
      <c r="G20" s="30"/>
      <c r="H20" s="30"/>
      <c r="I20" s="30"/>
      <c r="J20" s="30"/>
      <c r="K20" s="30"/>
      <c r="L20" s="30"/>
      <c r="M20" s="30"/>
      <c r="N20" s="30"/>
      <c r="O20" s="30"/>
      <c r="P20" s="30"/>
      <c r="Q20" s="30"/>
      <c r="R20" s="30"/>
      <c r="S20" s="30"/>
    </row>
    <row r="21" spans="3:25" ht="15.75" x14ac:dyDescent="0.5">
      <c r="C21" s="30"/>
      <c r="D21" s="30"/>
      <c r="E21" s="30"/>
      <c r="F21" s="30"/>
      <c r="G21" s="30"/>
      <c r="H21" s="30"/>
      <c r="I21" s="30"/>
      <c r="J21" s="30"/>
      <c r="K21" s="30"/>
      <c r="L21" s="30"/>
      <c r="M21" s="30"/>
      <c r="N21" s="30"/>
      <c r="O21" s="30"/>
      <c r="P21" s="30"/>
      <c r="Q21" s="30"/>
      <c r="R21" s="30"/>
      <c r="S21" s="30"/>
    </row>
    <row r="22" spans="3:25" ht="15.75" x14ac:dyDescent="0.5">
      <c r="C22" s="30"/>
      <c r="D22" s="30"/>
      <c r="E22" s="30"/>
      <c r="F22" s="30"/>
      <c r="G22" s="30"/>
      <c r="H22" s="30"/>
      <c r="I22" s="30"/>
      <c r="J22" s="30"/>
      <c r="K22" s="30"/>
      <c r="L22" s="30"/>
      <c r="M22" s="30"/>
      <c r="N22" s="30"/>
      <c r="O22" s="30"/>
      <c r="P22" s="30"/>
      <c r="Q22" s="30"/>
      <c r="R22" s="30"/>
      <c r="S22" s="30"/>
    </row>
    <row r="23" spans="3:25" ht="15.75" x14ac:dyDescent="0.5">
      <c r="C23" s="30"/>
      <c r="D23" s="30"/>
      <c r="E23" s="30"/>
      <c r="F23" s="30"/>
      <c r="G23" s="30"/>
      <c r="H23" s="30"/>
      <c r="I23" s="30"/>
      <c r="J23" s="30"/>
      <c r="K23" s="30"/>
      <c r="L23" s="30"/>
      <c r="M23" s="30"/>
      <c r="N23" s="30"/>
      <c r="O23" s="30"/>
      <c r="P23" s="30"/>
      <c r="Q23" s="30"/>
      <c r="R23" s="30"/>
      <c r="S23" s="30"/>
      <c r="Y23" t="s">
        <v>89</v>
      </c>
    </row>
    <row r="24" spans="3:25" ht="15.75" x14ac:dyDescent="0.5">
      <c r="C24" s="30"/>
      <c r="D24" s="30"/>
      <c r="E24" s="30"/>
      <c r="F24" s="30"/>
      <c r="G24" s="30"/>
      <c r="H24" s="30"/>
      <c r="I24" s="30"/>
      <c r="J24" s="30"/>
      <c r="K24" s="30"/>
      <c r="L24" s="30"/>
      <c r="M24" s="30"/>
      <c r="N24" s="30"/>
      <c r="O24" s="30"/>
      <c r="P24" s="30"/>
      <c r="Q24" s="30"/>
      <c r="R24" s="30"/>
      <c r="S24" s="30"/>
      <c r="Y24">
        <v>1</v>
      </c>
    </row>
    <row r="25" spans="3:25" x14ac:dyDescent="0.45">
      <c r="Y25">
        <v>1</v>
      </c>
    </row>
    <row r="26" spans="3:25" x14ac:dyDescent="0.45">
      <c r="Y26">
        <v>1</v>
      </c>
    </row>
  </sheetData>
  <mergeCells count="5">
    <mergeCell ref="P3:S4"/>
    <mergeCell ref="G4:J5"/>
    <mergeCell ref="C11:K12"/>
    <mergeCell ref="C4:D5"/>
    <mergeCell ref="M4:N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Option Button 3">
              <controlPr defaultSize="0" autoFill="0" autoLine="0" autoPict="0">
                <anchor moveWithCells="1">
                  <from>
                    <xdr:col>2</xdr:col>
                    <xdr:colOff>533400</xdr:colOff>
                    <xdr:row>14</xdr:row>
                    <xdr:rowOff>71438</xdr:rowOff>
                  </from>
                  <to>
                    <xdr:col>5</xdr:col>
                    <xdr:colOff>19050</xdr:colOff>
                    <xdr:row>16</xdr:row>
                    <xdr:rowOff>23813</xdr:rowOff>
                  </to>
                </anchor>
              </controlPr>
            </control>
          </mc:Choice>
        </mc:AlternateContent>
        <mc:AlternateContent xmlns:mc="http://schemas.openxmlformats.org/markup-compatibility/2006">
          <mc:Choice Requires="x14">
            <control shapeId="6148" r:id="rId5" name="Option Button 4">
              <controlPr defaultSize="0" autoFill="0" autoLine="0" autoPict="0">
                <anchor moveWithCells="1">
                  <from>
                    <xdr:col>2</xdr:col>
                    <xdr:colOff>533400</xdr:colOff>
                    <xdr:row>16</xdr:row>
                    <xdr:rowOff>66675</xdr:rowOff>
                  </from>
                  <to>
                    <xdr:col>4</xdr:col>
                    <xdr:colOff>204788</xdr:colOff>
                    <xdr:row>17</xdr:row>
                    <xdr:rowOff>95250</xdr:rowOff>
                  </to>
                </anchor>
              </controlPr>
            </control>
          </mc:Choice>
        </mc:AlternateContent>
        <mc:AlternateContent xmlns:mc="http://schemas.openxmlformats.org/markup-compatibility/2006">
          <mc:Choice Requires="x14">
            <control shapeId="6149" r:id="rId6" name="Option Button 5">
              <controlPr defaultSize="0" autoFill="0" autoLine="0" autoPict="0">
                <anchor moveWithCells="1">
                  <from>
                    <xdr:col>2</xdr:col>
                    <xdr:colOff>533400</xdr:colOff>
                    <xdr:row>17</xdr:row>
                    <xdr:rowOff>109538</xdr:rowOff>
                  </from>
                  <to>
                    <xdr:col>4</xdr:col>
                    <xdr:colOff>366713</xdr:colOff>
                    <xdr:row>19</xdr:row>
                    <xdr:rowOff>157163</xdr:rowOff>
                  </to>
                </anchor>
              </controlPr>
            </control>
          </mc:Choice>
        </mc:AlternateContent>
        <mc:AlternateContent xmlns:mc="http://schemas.openxmlformats.org/markup-compatibility/2006">
          <mc:Choice Requires="x14">
            <control shapeId="6150" r:id="rId7" name="Group Box 6">
              <controlPr defaultSize="0" autoFill="0" autoPict="0">
                <anchor moveWithCells="1">
                  <from>
                    <xdr:col>2</xdr:col>
                    <xdr:colOff>290513</xdr:colOff>
                    <xdr:row>13</xdr:row>
                    <xdr:rowOff>61913</xdr:rowOff>
                  </from>
                  <to>
                    <xdr:col>5</xdr:col>
                    <xdr:colOff>90488</xdr:colOff>
                    <xdr:row>22</xdr:row>
                    <xdr:rowOff>9525</xdr:rowOff>
                  </to>
                </anchor>
              </controlPr>
            </control>
          </mc:Choice>
        </mc:AlternateContent>
        <mc:AlternateContent xmlns:mc="http://schemas.openxmlformats.org/markup-compatibility/2006">
          <mc:Choice Requires="x14">
            <control shapeId="6151" r:id="rId8" name="Option Button 7">
              <controlPr defaultSize="0" autoFill="0" autoLine="0" autoPict="0">
                <anchor moveWithCells="1">
                  <from>
                    <xdr:col>6</xdr:col>
                    <xdr:colOff>52388</xdr:colOff>
                    <xdr:row>14</xdr:row>
                    <xdr:rowOff>147638</xdr:rowOff>
                  </from>
                  <to>
                    <xdr:col>7</xdr:col>
                    <xdr:colOff>371475</xdr:colOff>
                    <xdr:row>15</xdr:row>
                    <xdr:rowOff>176213</xdr:rowOff>
                  </to>
                </anchor>
              </controlPr>
            </control>
          </mc:Choice>
        </mc:AlternateContent>
        <mc:AlternateContent xmlns:mc="http://schemas.openxmlformats.org/markup-compatibility/2006">
          <mc:Choice Requires="x14">
            <control shapeId="6152" r:id="rId9" name="Option Button 8">
              <controlPr defaultSize="0" autoFill="0" autoLine="0" autoPict="0">
                <anchor moveWithCells="1">
                  <from>
                    <xdr:col>6</xdr:col>
                    <xdr:colOff>52388</xdr:colOff>
                    <xdr:row>16</xdr:row>
                    <xdr:rowOff>85725</xdr:rowOff>
                  </from>
                  <to>
                    <xdr:col>7</xdr:col>
                    <xdr:colOff>371475</xdr:colOff>
                    <xdr:row>17</xdr:row>
                    <xdr:rowOff>114300</xdr:rowOff>
                  </to>
                </anchor>
              </controlPr>
            </control>
          </mc:Choice>
        </mc:AlternateContent>
        <mc:AlternateContent xmlns:mc="http://schemas.openxmlformats.org/markup-compatibility/2006">
          <mc:Choice Requires="x14">
            <control shapeId="6153" r:id="rId10" name="Group Box 9">
              <controlPr defaultSize="0" autoFill="0" autoPict="0">
                <anchor moveWithCells="1">
                  <from>
                    <xdr:col>5</xdr:col>
                    <xdr:colOff>552450</xdr:colOff>
                    <xdr:row>13</xdr:row>
                    <xdr:rowOff>52388</xdr:rowOff>
                  </from>
                  <to>
                    <xdr:col>8</xdr:col>
                    <xdr:colOff>271463</xdr:colOff>
                    <xdr:row>19</xdr:row>
                    <xdr:rowOff>171450</xdr:rowOff>
                  </to>
                </anchor>
              </controlPr>
            </control>
          </mc:Choice>
        </mc:AlternateContent>
        <mc:AlternateContent xmlns:mc="http://schemas.openxmlformats.org/markup-compatibility/2006">
          <mc:Choice Requires="x14">
            <control shapeId="6154" r:id="rId11" name="Group Box 10">
              <controlPr defaultSize="0" autoFill="0" autoPict="0">
                <anchor moveWithCells="1">
                  <from>
                    <xdr:col>8</xdr:col>
                    <xdr:colOff>790575</xdr:colOff>
                    <xdr:row>13</xdr:row>
                    <xdr:rowOff>14288</xdr:rowOff>
                  </from>
                  <to>
                    <xdr:col>11</xdr:col>
                    <xdr:colOff>161925</xdr:colOff>
                    <xdr:row>21</xdr:row>
                    <xdr:rowOff>42863</xdr:rowOff>
                  </to>
                </anchor>
              </controlPr>
            </control>
          </mc:Choice>
        </mc:AlternateContent>
        <mc:AlternateContent xmlns:mc="http://schemas.openxmlformats.org/markup-compatibility/2006">
          <mc:Choice Requires="x14">
            <control shapeId="6155" r:id="rId12" name="Option Button 11">
              <controlPr defaultSize="0" autoFill="0" autoLine="0" autoPict="0">
                <anchor moveWithCells="1">
                  <from>
                    <xdr:col>9</xdr:col>
                    <xdr:colOff>61913</xdr:colOff>
                    <xdr:row>14</xdr:row>
                    <xdr:rowOff>157163</xdr:rowOff>
                  </from>
                  <to>
                    <xdr:col>10</xdr:col>
                    <xdr:colOff>195263</xdr:colOff>
                    <xdr:row>15</xdr:row>
                    <xdr:rowOff>190500</xdr:rowOff>
                  </to>
                </anchor>
              </controlPr>
            </control>
          </mc:Choice>
        </mc:AlternateContent>
        <mc:AlternateContent xmlns:mc="http://schemas.openxmlformats.org/markup-compatibility/2006">
          <mc:Choice Requires="x14">
            <control shapeId="6156" r:id="rId13" name="Option Button 12">
              <controlPr defaultSize="0" autoFill="0" autoLine="0" autoPict="0">
                <anchor moveWithCells="1">
                  <from>
                    <xdr:col>9</xdr:col>
                    <xdr:colOff>47625</xdr:colOff>
                    <xdr:row>16</xdr:row>
                    <xdr:rowOff>138113</xdr:rowOff>
                  </from>
                  <to>
                    <xdr:col>9</xdr:col>
                    <xdr:colOff>809625</xdr:colOff>
                    <xdr:row>17</xdr:row>
                    <xdr:rowOff>171450</xdr:rowOff>
                  </to>
                </anchor>
              </controlPr>
            </control>
          </mc:Choice>
        </mc:AlternateContent>
        <mc:AlternateContent xmlns:mc="http://schemas.openxmlformats.org/markup-compatibility/2006">
          <mc:Choice Requires="x14">
            <control shapeId="6157" r:id="rId14" name="Option Button 13">
              <controlPr defaultSize="0" autoFill="0" autoLine="0" autoPict="0">
                <anchor moveWithCells="1">
                  <from>
                    <xdr:col>9</xdr:col>
                    <xdr:colOff>66675</xdr:colOff>
                    <xdr:row>18</xdr:row>
                    <xdr:rowOff>138113</xdr:rowOff>
                  </from>
                  <to>
                    <xdr:col>9</xdr:col>
                    <xdr:colOff>823913</xdr:colOff>
                    <xdr:row>19</xdr:row>
                    <xdr:rowOff>171450</xdr:rowOff>
                  </to>
                </anchor>
              </controlPr>
            </control>
          </mc:Choice>
        </mc:AlternateContent>
        <mc:AlternateContent xmlns:mc="http://schemas.openxmlformats.org/markup-compatibility/2006">
          <mc:Choice Requires="x14">
            <control shapeId="6158" r:id="rId15" name="Option Button 14">
              <controlPr defaultSize="0" autoFill="0" autoLine="0" autoPict="0">
                <anchor moveWithCells="1">
                  <from>
                    <xdr:col>2</xdr:col>
                    <xdr:colOff>538163</xdr:colOff>
                    <xdr:row>19</xdr:row>
                    <xdr:rowOff>166688</xdr:rowOff>
                  </from>
                  <to>
                    <xdr:col>3</xdr:col>
                    <xdr:colOff>571500</xdr:colOff>
                    <xdr:row>21</xdr:row>
                    <xdr:rowOff>0</xdr:rowOff>
                  </to>
                </anchor>
              </controlPr>
            </control>
          </mc:Choice>
        </mc:AlternateContent>
        <mc:AlternateContent xmlns:mc="http://schemas.openxmlformats.org/markup-compatibility/2006">
          <mc:Choice Requires="x14">
            <control shapeId="6161" r:id="rId16" name="Button 17">
              <controlPr defaultSize="0" print="0" autoFill="0" autoPict="0" macro="[0]!GoTo_Model">
                <anchor>
                  <from>
                    <xdr:col>13</xdr:col>
                    <xdr:colOff>190500</xdr:colOff>
                    <xdr:row>14</xdr:row>
                    <xdr:rowOff>80963</xdr:rowOff>
                  </from>
                  <to>
                    <xdr:col>15</xdr:col>
                    <xdr:colOff>523875</xdr:colOff>
                    <xdr:row>18</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17C61-E3ED-4398-8846-9FF9219BC696}">
  <sheetPr codeName="Sheet1"/>
  <dimension ref="B1:U48"/>
  <sheetViews>
    <sheetView workbookViewId="0">
      <selection activeCell="N6" sqref="N6"/>
    </sheetView>
  </sheetViews>
  <sheetFormatPr defaultRowHeight="14.25" x14ac:dyDescent="0.45"/>
  <cols>
    <col min="3" max="3" width="11.59765625" customWidth="1"/>
    <col min="4" max="4" width="20.33203125" customWidth="1"/>
    <col min="5" max="5" width="12.73046875" customWidth="1"/>
    <col min="6" max="6" width="11.33203125" customWidth="1"/>
    <col min="7" max="7" width="12.1328125" customWidth="1"/>
    <col min="8" max="8" width="12.86328125" customWidth="1"/>
    <col min="9" max="9" width="11.265625" customWidth="1"/>
    <col min="10" max="10" width="12.59765625" customWidth="1"/>
    <col min="11" max="11" width="9.1328125" bestFit="1" customWidth="1"/>
    <col min="12" max="12" width="9.265625" bestFit="1" customWidth="1"/>
    <col min="13" max="13" width="9.1328125" bestFit="1" customWidth="1"/>
    <col min="15" max="15" width="23.3984375" bestFit="1" customWidth="1"/>
    <col min="16" max="16" width="13.3984375" customWidth="1"/>
    <col min="22" max="22" width="9.73046875" customWidth="1"/>
  </cols>
  <sheetData>
    <row r="1" spans="2:15" x14ac:dyDescent="0.45">
      <c r="B1" s="102" t="s">
        <v>62</v>
      </c>
      <c r="C1" s="102"/>
      <c r="D1" s="102"/>
    </row>
    <row r="2" spans="2:15" x14ac:dyDescent="0.45">
      <c r="B2" s="102"/>
      <c r="C2" s="102"/>
      <c r="D2" s="102"/>
    </row>
    <row r="3" spans="2:15" x14ac:dyDescent="0.45">
      <c r="L3" s="25"/>
    </row>
    <row r="4" spans="2:15" ht="15.75" x14ac:dyDescent="0.5">
      <c r="B4" s="36"/>
      <c r="C4" s="36"/>
      <c r="D4" s="36"/>
      <c r="E4" s="37" t="s">
        <v>4</v>
      </c>
      <c r="F4" s="37" t="s">
        <v>5</v>
      </c>
      <c r="G4" s="37" t="s">
        <v>6</v>
      </c>
      <c r="H4" s="37" t="s">
        <v>1</v>
      </c>
      <c r="I4" s="37" t="s">
        <v>2</v>
      </c>
      <c r="J4" s="37" t="s">
        <v>3</v>
      </c>
      <c r="K4" s="36"/>
      <c r="L4" s="38"/>
      <c r="M4" s="39"/>
      <c r="N4" s="39"/>
      <c r="O4" s="39"/>
    </row>
    <row r="5" spans="2:15" ht="15.75" x14ac:dyDescent="0.5">
      <c r="B5" s="40" t="s">
        <v>48</v>
      </c>
      <c r="C5" s="40"/>
      <c r="D5" s="40"/>
      <c r="E5" s="41" t="s">
        <v>20</v>
      </c>
      <c r="F5" s="41" t="s">
        <v>24</v>
      </c>
      <c r="G5" s="40" t="s">
        <v>26</v>
      </c>
      <c r="H5" s="40" t="s">
        <v>12</v>
      </c>
      <c r="I5" s="40" t="s">
        <v>16</v>
      </c>
      <c r="J5" s="40" t="s">
        <v>49</v>
      </c>
      <c r="K5" s="36"/>
      <c r="L5" s="38"/>
      <c r="M5" s="39"/>
      <c r="N5" s="39"/>
      <c r="O5" s="39"/>
    </row>
    <row r="6" spans="2:15" ht="15.75" x14ac:dyDescent="0.5">
      <c r="B6" s="37"/>
      <c r="C6" s="40" t="s">
        <v>50</v>
      </c>
      <c r="D6" s="40"/>
      <c r="E6" s="42">
        <v>354</v>
      </c>
      <c r="F6" s="42">
        <v>184</v>
      </c>
      <c r="G6" s="42">
        <v>52</v>
      </c>
      <c r="H6" s="42">
        <v>34</v>
      </c>
      <c r="I6" s="42">
        <v>354</v>
      </c>
      <c r="J6" s="42">
        <v>236</v>
      </c>
      <c r="K6" s="36"/>
      <c r="L6" s="38"/>
      <c r="M6" s="39"/>
      <c r="N6" s="39"/>
      <c r="O6" s="39"/>
    </row>
    <row r="7" spans="2:15" ht="15.75" x14ac:dyDescent="0.5">
      <c r="B7" s="40" t="s">
        <v>51</v>
      </c>
      <c r="C7" s="40"/>
      <c r="D7" s="40"/>
      <c r="E7" s="43">
        <f>Inputs!Q6</f>
        <v>1.8399999999999999</v>
      </c>
      <c r="F7" s="43">
        <f>Inputs!R6</f>
        <v>2</v>
      </c>
      <c r="G7" s="43">
        <f>Inputs!S6</f>
        <v>1.85</v>
      </c>
      <c r="H7" s="43">
        <f>Inputs!Q7</f>
        <v>2.06</v>
      </c>
      <c r="I7" s="43">
        <f>Inputs!R7</f>
        <v>1.8</v>
      </c>
      <c r="J7" s="43">
        <f>Inputs!S7</f>
        <v>1.75</v>
      </c>
      <c r="K7" s="37" t="s">
        <v>52</v>
      </c>
      <c r="L7" s="44">
        <f>SUMPRODUCT($E$6:$J$6,E7:J7)</f>
        <v>2235.8000000000002</v>
      </c>
      <c r="M7" s="39"/>
      <c r="N7" s="39"/>
      <c r="O7" s="39"/>
    </row>
    <row r="8" spans="2:15" ht="15.75" x14ac:dyDescent="0.5">
      <c r="B8" s="36"/>
      <c r="C8" s="36"/>
      <c r="D8" s="36"/>
      <c r="E8" s="36"/>
      <c r="F8" s="36"/>
      <c r="G8" s="36"/>
      <c r="H8" s="36"/>
      <c r="I8" s="36"/>
      <c r="J8" s="36"/>
      <c r="K8" s="36"/>
      <c r="L8" s="38"/>
      <c r="M8" s="36"/>
      <c r="N8" s="36"/>
      <c r="O8" s="36"/>
    </row>
    <row r="9" spans="2:15" ht="15.75" x14ac:dyDescent="0.5">
      <c r="B9" s="36"/>
      <c r="C9" s="36"/>
      <c r="D9" s="36"/>
      <c r="E9" s="36"/>
      <c r="F9" s="36"/>
      <c r="G9" s="36"/>
      <c r="H9" s="36"/>
      <c r="I9" s="36"/>
      <c r="J9" s="36"/>
      <c r="K9" s="36"/>
      <c r="L9" s="38"/>
      <c r="M9" s="36"/>
      <c r="N9" s="36"/>
      <c r="O9" s="36"/>
    </row>
    <row r="10" spans="2:15" ht="15.75" x14ac:dyDescent="0.5">
      <c r="B10" s="45"/>
      <c r="C10" s="46" t="s">
        <v>53</v>
      </c>
      <c r="D10" s="45"/>
      <c r="E10" s="47" t="s">
        <v>54</v>
      </c>
      <c r="F10" s="47"/>
      <c r="G10" s="47"/>
      <c r="H10" s="47"/>
      <c r="I10" s="47"/>
      <c r="J10" s="47"/>
      <c r="K10" s="46" t="s">
        <v>63</v>
      </c>
      <c r="L10" s="46"/>
      <c r="M10" s="46" t="s">
        <v>55</v>
      </c>
      <c r="N10" s="36"/>
      <c r="O10" s="36"/>
    </row>
    <row r="11" spans="2:15" ht="15.75" x14ac:dyDescent="0.5">
      <c r="B11" s="73" t="s">
        <v>84</v>
      </c>
      <c r="C11" s="73"/>
      <c r="D11" s="74"/>
      <c r="E11" s="48">
        <v>1</v>
      </c>
      <c r="F11" s="49">
        <v>1</v>
      </c>
      <c r="G11" s="49">
        <v>1</v>
      </c>
      <c r="H11" s="49">
        <v>0</v>
      </c>
      <c r="I11" s="49">
        <v>0</v>
      </c>
      <c r="J11" s="50">
        <v>0</v>
      </c>
      <c r="K11" s="70">
        <f>SUMPRODUCT($E$6:$J$6,E11:J11)</f>
        <v>590</v>
      </c>
      <c r="L11" s="67" t="s">
        <v>56</v>
      </c>
      <c r="M11" s="51">
        <f>Inputs!C7</f>
        <v>652</v>
      </c>
      <c r="N11" s="36"/>
      <c r="O11" s="36"/>
    </row>
    <row r="12" spans="2:15" ht="15.75" x14ac:dyDescent="0.5">
      <c r="B12" s="75" t="s">
        <v>85</v>
      </c>
      <c r="C12" s="75"/>
      <c r="D12" s="76"/>
      <c r="E12" s="52">
        <v>0</v>
      </c>
      <c r="F12" s="36">
        <v>0</v>
      </c>
      <c r="G12" s="36">
        <v>0</v>
      </c>
      <c r="H12" s="36">
        <v>1</v>
      </c>
      <c r="I12" s="36">
        <v>1</v>
      </c>
      <c r="J12" s="53">
        <v>1</v>
      </c>
      <c r="K12" s="71">
        <f>SUMPRODUCT($E$6:$J$6,E12:J12)</f>
        <v>624</v>
      </c>
      <c r="L12" s="68" t="s">
        <v>56</v>
      </c>
      <c r="M12" s="54">
        <f>Inputs!D7</f>
        <v>624</v>
      </c>
      <c r="N12" s="36"/>
      <c r="O12" s="36"/>
    </row>
    <row r="13" spans="2:15" ht="15.75" x14ac:dyDescent="0.5">
      <c r="B13" s="75" t="s">
        <v>81</v>
      </c>
      <c r="C13" s="75"/>
      <c r="D13" s="76"/>
      <c r="E13" s="52">
        <v>1</v>
      </c>
      <c r="F13" s="36">
        <v>0</v>
      </c>
      <c r="G13" s="36">
        <v>0</v>
      </c>
      <c r="H13" s="36">
        <v>1</v>
      </c>
      <c r="I13" s="36">
        <v>0</v>
      </c>
      <c r="J13" s="53">
        <v>0</v>
      </c>
      <c r="K13" s="71">
        <f>SUMPRODUCT($E$6:$J$6,E13:J13)</f>
        <v>388</v>
      </c>
      <c r="L13" s="68" t="s">
        <v>86</v>
      </c>
      <c r="M13" s="54">
        <f>Inputs!G7</f>
        <v>388</v>
      </c>
      <c r="N13" s="36"/>
      <c r="O13" s="36"/>
    </row>
    <row r="14" spans="2:15" ht="15.75" x14ac:dyDescent="0.5">
      <c r="B14" s="75" t="s">
        <v>82</v>
      </c>
      <c r="C14" s="75"/>
      <c r="D14" s="76"/>
      <c r="E14" s="52">
        <v>0</v>
      </c>
      <c r="F14" s="36">
        <v>1</v>
      </c>
      <c r="G14" s="36">
        <v>0</v>
      </c>
      <c r="H14" s="36">
        <v>0</v>
      </c>
      <c r="I14" s="36">
        <v>1</v>
      </c>
      <c r="J14" s="53">
        <v>0</v>
      </c>
      <c r="K14" s="71">
        <f>SUMPRODUCT($E$6:$J$6,E14:J14)</f>
        <v>538</v>
      </c>
      <c r="L14" s="68" t="s">
        <v>86</v>
      </c>
      <c r="M14" s="54">
        <f>Inputs!H7</f>
        <v>538</v>
      </c>
      <c r="N14" s="36"/>
      <c r="O14" s="36"/>
    </row>
    <row r="15" spans="2:15" ht="15.75" x14ac:dyDescent="0.5">
      <c r="B15" s="75" t="s">
        <v>83</v>
      </c>
      <c r="C15" s="75"/>
      <c r="D15" s="76"/>
      <c r="E15" s="52">
        <v>0</v>
      </c>
      <c r="F15" s="36">
        <v>0</v>
      </c>
      <c r="G15" s="36">
        <v>1</v>
      </c>
      <c r="H15" s="36">
        <v>0</v>
      </c>
      <c r="I15" s="36">
        <v>0</v>
      </c>
      <c r="J15" s="53">
        <v>1</v>
      </c>
      <c r="K15" s="71">
        <f>SUMPRODUCT($E$6:$J$6,E15:J15)</f>
        <v>288</v>
      </c>
      <c r="L15" s="68" t="s">
        <v>86</v>
      </c>
      <c r="M15" s="54">
        <f>Inputs!J7</f>
        <v>288</v>
      </c>
      <c r="N15" s="36"/>
      <c r="O15" s="36"/>
    </row>
    <row r="16" spans="2:15" ht="15.75" x14ac:dyDescent="0.5">
      <c r="B16" s="75" t="s">
        <v>69</v>
      </c>
      <c r="C16" s="75"/>
      <c r="D16" s="76"/>
      <c r="E16" s="52">
        <v>1</v>
      </c>
      <c r="F16" s="36">
        <v>0</v>
      </c>
      <c r="G16" s="36">
        <v>0</v>
      </c>
      <c r="H16" s="36">
        <v>0</v>
      </c>
      <c r="I16" s="36">
        <v>0</v>
      </c>
      <c r="J16" s="53">
        <v>0</v>
      </c>
      <c r="K16" s="71">
        <f t="shared" ref="K16:K21" si="0">SUMPRODUCT($E$6:$J$6,E16:J16)</f>
        <v>354</v>
      </c>
      <c r="L16" s="68" t="s">
        <v>56</v>
      </c>
      <c r="M16" s="54">
        <f>Inputs!$N$7</f>
        <v>354</v>
      </c>
      <c r="N16" s="36"/>
      <c r="O16" s="36"/>
    </row>
    <row r="17" spans="2:21" ht="15.75" x14ac:dyDescent="0.5">
      <c r="B17" s="75" t="s">
        <v>70</v>
      </c>
      <c r="C17" s="75"/>
      <c r="D17" s="76"/>
      <c r="E17" s="52">
        <v>0</v>
      </c>
      <c r="F17" s="36">
        <v>1</v>
      </c>
      <c r="G17" s="36">
        <v>0</v>
      </c>
      <c r="H17" s="36">
        <v>0</v>
      </c>
      <c r="I17" s="36">
        <v>0</v>
      </c>
      <c r="J17" s="53">
        <v>0</v>
      </c>
      <c r="K17" s="71">
        <f t="shared" si="0"/>
        <v>184</v>
      </c>
      <c r="L17" s="68" t="s">
        <v>56</v>
      </c>
      <c r="M17" s="54">
        <f>Inputs!$N$7</f>
        <v>354</v>
      </c>
      <c r="N17" s="36"/>
      <c r="O17" s="36"/>
    </row>
    <row r="18" spans="2:21" ht="15.75" x14ac:dyDescent="0.5">
      <c r="B18" s="75" t="s">
        <v>71</v>
      </c>
      <c r="C18" s="75"/>
      <c r="D18" s="76"/>
      <c r="E18" s="52">
        <v>0</v>
      </c>
      <c r="F18" s="36">
        <v>0</v>
      </c>
      <c r="G18" s="36">
        <v>1</v>
      </c>
      <c r="H18" s="36">
        <v>0</v>
      </c>
      <c r="I18" s="36">
        <v>0</v>
      </c>
      <c r="J18" s="53">
        <v>0</v>
      </c>
      <c r="K18" s="71">
        <f t="shared" si="0"/>
        <v>52</v>
      </c>
      <c r="L18" s="68" t="s">
        <v>56</v>
      </c>
      <c r="M18" s="54">
        <f>Inputs!$N$7</f>
        <v>354</v>
      </c>
      <c r="N18" s="36"/>
      <c r="O18" s="36"/>
    </row>
    <row r="19" spans="2:21" ht="15.75" x14ac:dyDescent="0.5">
      <c r="B19" s="75" t="s">
        <v>72</v>
      </c>
      <c r="C19" s="75"/>
      <c r="D19" s="76"/>
      <c r="E19" s="52">
        <v>0</v>
      </c>
      <c r="F19" s="36">
        <v>0</v>
      </c>
      <c r="G19" s="36">
        <v>0</v>
      </c>
      <c r="H19" s="36">
        <v>1</v>
      </c>
      <c r="I19" s="36">
        <v>0</v>
      </c>
      <c r="J19" s="53">
        <v>0</v>
      </c>
      <c r="K19" s="71">
        <f t="shared" si="0"/>
        <v>34</v>
      </c>
      <c r="L19" s="68" t="s">
        <v>56</v>
      </c>
      <c r="M19" s="54">
        <f>Inputs!$N$7</f>
        <v>354</v>
      </c>
      <c r="N19" s="36"/>
      <c r="O19" s="36"/>
    </row>
    <row r="20" spans="2:21" ht="15.75" x14ac:dyDescent="0.5">
      <c r="B20" s="75" t="s">
        <v>73</v>
      </c>
      <c r="C20" s="75"/>
      <c r="D20" s="76"/>
      <c r="E20" s="52">
        <v>0</v>
      </c>
      <c r="F20" s="36">
        <v>0</v>
      </c>
      <c r="G20" s="36">
        <v>0</v>
      </c>
      <c r="H20" s="36">
        <v>0</v>
      </c>
      <c r="I20" s="36">
        <v>1</v>
      </c>
      <c r="J20" s="53">
        <v>0</v>
      </c>
      <c r="K20" s="71">
        <f t="shared" si="0"/>
        <v>354</v>
      </c>
      <c r="L20" s="68" t="s">
        <v>56</v>
      </c>
      <c r="M20" s="54">
        <f>Inputs!$N$7</f>
        <v>354</v>
      </c>
      <c r="N20" s="36"/>
      <c r="O20" s="36"/>
    </row>
    <row r="21" spans="2:21" ht="15.75" x14ac:dyDescent="0.5">
      <c r="B21" s="75" t="s">
        <v>74</v>
      </c>
      <c r="C21" s="75"/>
      <c r="D21" s="76"/>
      <c r="E21" s="52">
        <v>0</v>
      </c>
      <c r="F21" s="36">
        <v>0</v>
      </c>
      <c r="G21" s="36">
        <v>0</v>
      </c>
      <c r="H21" s="36">
        <v>0</v>
      </c>
      <c r="I21" s="36">
        <v>0</v>
      </c>
      <c r="J21" s="53">
        <v>1</v>
      </c>
      <c r="K21" s="71">
        <f t="shared" si="0"/>
        <v>236</v>
      </c>
      <c r="L21" s="68" t="s">
        <v>56</v>
      </c>
      <c r="M21" s="54">
        <f>Inputs!$N$7</f>
        <v>354</v>
      </c>
      <c r="N21" s="36"/>
      <c r="O21" s="36"/>
    </row>
    <row r="22" spans="2:21" ht="15.75" x14ac:dyDescent="0.5">
      <c r="B22" s="75" t="s">
        <v>75</v>
      </c>
      <c r="C22" s="75"/>
      <c r="D22" s="76"/>
      <c r="E22" s="52">
        <v>1</v>
      </c>
      <c r="F22" s="36">
        <v>0</v>
      </c>
      <c r="G22" s="36">
        <v>0</v>
      </c>
      <c r="H22" s="36">
        <v>0</v>
      </c>
      <c r="I22" s="36">
        <v>0</v>
      </c>
      <c r="J22" s="53">
        <v>0</v>
      </c>
      <c r="K22" s="71">
        <f t="shared" ref="K22:K27" si="1">SUMPRODUCT($E$6:$J$6,E22:J22)</f>
        <v>354</v>
      </c>
      <c r="L22" s="68" t="s">
        <v>86</v>
      </c>
      <c r="M22" s="55">
        <f>Inputs!$M$7</f>
        <v>0</v>
      </c>
      <c r="N22" s="36"/>
      <c r="O22" s="36"/>
    </row>
    <row r="23" spans="2:21" ht="15.75" x14ac:dyDescent="0.5">
      <c r="B23" s="75" t="s">
        <v>76</v>
      </c>
      <c r="C23" s="75"/>
      <c r="D23" s="76"/>
      <c r="E23" s="52">
        <v>0</v>
      </c>
      <c r="F23" s="36">
        <v>1</v>
      </c>
      <c r="G23" s="36">
        <v>0</v>
      </c>
      <c r="H23" s="36">
        <v>0</v>
      </c>
      <c r="I23" s="36">
        <v>0</v>
      </c>
      <c r="J23" s="53">
        <v>0</v>
      </c>
      <c r="K23" s="71">
        <f t="shared" si="1"/>
        <v>184</v>
      </c>
      <c r="L23" s="68" t="s">
        <v>86</v>
      </c>
      <c r="M23" s="55">
        <f>Inputs!$M$7</f>
        <v>0</v>
      </c>
      <c r="N23" s="36"/>
      <c r="O23" s="36"/>
    </row>
    <row r="24" spans="2:21" ht="15.75" x14ac:dyDescent="0.5">
      <c r="B24" s="75" t="s">
        <v>77</v>
      </c>
      <c r="C24" s="75"/>
      <c r="D24" s="76"/>
      <c r="E24" s="52">
        <v>0</v>
      </c>
      <c r="F24" s="36">
        <v>0</v>
      </c>
      <c r="G24" s="36">
        <v>1</v>
      </c>
      <c r="H24" s="36">
        <v>0</v>
      </c>
      <c r="I24" s="36">
        <v>0</v>
      </c>
      <c r="J24" s="53">
        <v>0</v>
      </c>
      <c r="K24" s="71">
        <f t="shared" si="1"/>
        <v>52</v>
      </c>
      <c r="L24" s="68" t="s">
        <v>86</v>
      </c>
      <c r="M24" s="55">
        <f>Inputs!$M$7</f>
        <v>0</v>
      </c>
      <c r="N24" s="36"/>
      <c r="O24" s="36"/>
      <c r="U24" s="28"/>
    </row>
    <row r="25" spans="2:21" ht="15.75" x14ac:dyDescent="0.5">
      <c r="B25" s="75" t="s">
        <v>78</v>
      </c>
      <c r="C25" s="75"/>
      <c r="D25" s="76"/>
      <c r="E25" s="52">
        <v>0</v>
      </c>
      <c r="F25" s="36">
        <v>0</v>
      </c>
      <c r="G25" s="36">
        <v>0</v>
      </c>
      <c r="H25" s="36">
        <v>1</v>
      </c>
      <c r="I25" s="36">
        <v>0</v>
      </c>
      <c r="J25" s="53">
        <v>0</v>
      </c>
      <c r="K25" s="71">
        <f t="shared" si="1"/>
        <v>34</v>
      </c>
      <c r="L25" s="68" t="s">
        <v>86</v>
      </c>
      <c r="M25" s="55">
        <f>Inputs!$M$7</f>
        <v>0</v>
      </c>
      <c r="N25" s="36"/>
      <c r="O25" s="36"/>
      <c r="U25" s="28"/>
    </row>
    <row r="26" spans="2:21" ht="15.75" x14ac:dyDescent="0.5">
      <c r="B26" s="75" t="s">
        <v>79</v>
      </c>
      <c r="C26" s="75"/>
      <c r="D26" s="76"/>
      <c r="E26" s="52">
        <v>0</v>
      </c>
      <c r="F26" s="36">
        <v>0</v>
      </c>
      <c r="G26" s="36">
        <v>0</v>
      </c>
      <c r="H26" s="36">
        <v>0</v>
      </c>
      <c r="I26" s="36">
        <v>1</v>
      </c>
      <c r="J26" s="53">
        <v>0</v>
      </c>
      <c r="K26" s="71">
        <f t="shared" si="1"/>
        <v>354</v>
      </c>
      <c r="L26" s="68" t="s">
        <v>86</v>
      </c>
      <c r="M26" s="55">
        <f>Inputs!$M$7</f>
        <v>0</v>
      </c>
      <c r="N26" s="36"/>
      <c r="O26" s="36"/>
      <c r="U26" s="28"/>
    </row>
    <row r="27" spans="2:21" ht="15.75" x14ac:dyDescent="0.5">
      <c r="B27" s="47" t="s">
        <v>80</v>
      </c>
      <c r="C27" s="47"/>
      <c r="D27" s="77"/>
      <c r="E27" s="56">
        <v>0</v>
      </c>
      <c r="F27" s="45">
        <v>0</v>
      </c>
      <c r="G27" s="45">
        <v>0</v>
      </c>
      <c r="H27" s="45">
        <v>0</v>
      </c>
      <c r="I27" s="45">
        <v>0</v>
      </c>
      <c r="J27" s="57">
        <v>1</v>
      </c>
      <c r="K27" s="72">
        <f t="shared" si="1"/>
        <v>236</v>
      </c>
      <c r="L27" s="69" t="s">
        <v>86</v>
      </c>
      <c r="M27" s="58">
        <f>Inputs!$M$7</f>
        <v>0</v>
      </c>
      <c r="N27" s="36"/>
      <c r="O27" s="36"/>
    </row>
    <row r="28" spans="2:21" x14ac:dyDescent="0.45">
      <c r="B28" s="66"/>
      <c r="C28" s="66"/>
      <c r="D28" s="66"/>
      <c r="E28" s="66"/>
      <c r="F28" s="66"/>
      <c r="G28" s="66"/>
      <c r="H28" s="66"/>
      <c r="I28" s="66"/>
      <c r="J28" s="66"/>
      <c r="K28" s="66"/>
      <c r="L28" s="66"/>
      <c r="M28" s="66"/>
      <c r="N28" s="66"/>
      <c r="O28" s="66"/>
    </row>
    <row r="48" spans="13:17" x14ac:dyDescent="0.45">
      <c r="M48" s="27"/>
      <c r="N48" s="27"/>
      <c r="O48" s="27"/>
      <c r="P48" s="27"/>
      <c r="Q48" s="27"/>
    </row>
  </sheetData>
  <mergeCells count="1">
    <mergeCell ref="B1:D2"/>
  </mergeCells>
  <conditionalFormatting sqref="E11:J27">
    <cfRule type="cellIs" dxfId="5" priority="1" operator="equal">
      <formula>0</formula>
    </cfRule>
    <cfRule type="cellIs" dxfId="4" priority="2" operator="equal">
      <formula>0</formula>
    </cfRule>
    <cfRule type="cellIs" dxfId="3" priority="3" operator="equal">
      <formula>0</formula>
    </cfRule>
    <cfRule type="cellIs" dxfId="2" priority="4" operat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16" r:id="rId4" name="Button 44">
              <controlPr defaultSize="0" print="0" autoFill="0" autoPict="0" macro="[0]!GoTo_Output">
                <anchor>
                  <from>
                    <xdr:col>13</xdr:col>
                    <xdr:colOff>328613</xdr:colOff>
                    <xdr:row>22</xdr:row>
                    <xdr:rowOff>119063</xdr:rowOff>
                  </from>
                  <to>
                    <xdr:col>14</xdr:col>
                    <xdr:colOff>1300163</xdr:colOff>
                    <xdr:row>26</xdr:row>
                    <xdr:rowOff>66675</xdr:rowOff>
                  </to>
                </anchor>
              </controlPr>
            </control>
          </mc:Choice>
        </mc:AlternateContent>
        <mc:AlternateContent xmlns:mc="http://schemas.openxmlformats.org/markup-compatibility/2006">
          <mc:Choice Requires="x14">
            <control shapeId="3117" r:id="rId5" name="Button 45">
              <controlPr defaultSize="0" print="0" autoFill="0" autoPict="0" macro="[0]!Minimise_Cost">
                <anchor>
                  <from>
                    <xdr:col>13</xdr:col>
                    <xdr:colOff>323850</xdr:colOff>
                    <xdr:row>10</xdr:row>
                    <xdr:rowOff>133350</xdr:rowOff>
                  </from>
                  <to>
                    <xdr:col>14</xdr:col>
                    <xdr:colOff>1300163</xdr:colOff>
                    <xdr:row>14</xdr:row>
                    <xdr:rowOff>57150</xdr:rowOff>
                  </to>
                </anchor>
              </controlPr>
            </control>
          </mc:Choice>
        </mc:AlternateContent>
        <mc:AlternateContent xmlns:mc="http://schemas.openxmlformats.org/markup-compatibility/2006">
          <mc:Choice Requires="x14">
            <control shapeId="3118" r:id="rId6" name="Button 46">
              <controlPr defaultSize="0" print="0" autoFill="0" autoPict="0" macro="[0]!GoTo_input_from_model">
                <anchor>
                  <from>
                    <xdr:col>13</xdr:col>
                    <xdr:colOff>338138</xdr:colOff>
                    <xdr:row>16</xdr:row>
                    <xdr:rowOff>95250</xdr:rowOff>
                  </from>
                  <to>
                    <xdr:col>14</xdr:col>
                    <xdr:colOff>1271588</xdr:colOff>
                    <xdr:row>20</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76266-DBBC-48E0-9E81-25F71B5D9248}">
  <sheetPr codeName="Sheet4"/>
  <dimension ref="C1:I34"/>
  <sheetViews>
    <sheetView topLeftCell="A4" zoomScaleNormal="100" workbookViewId="0">
      <selection activeCell="M26" sqref="M26"/>
    </sheetView>
  </sheetViews>
  <sheetFormatPr defaultRowHeight="14.25" x14ac:dyDescent="0.45"/>
  <cols>
    <col min="2" max="2" width="23.3984375" bestFit="1" customWidth="1"/>
    <col min="3" max="3" width="18.59765625" customWidth="1"/>
    <col min="4" max="4" width="12.796875" customWidth="1"/>
    <col min="5" max="5" width="15.3984375" customWidth="1"/>
    <col min="6" max="6" width="20.796875" customWidth="1"/>
  </cols>
  <sheetData>
    <row r="1" spans="3:9" x14ac:dyDescent="0.45">
      <c r="E1" s="25"/>
    </row>
    <row r="4" spans="3:9" x14ac:dyDescent="0.45">
      <c r="C4" s="78"/>
      <c r="D4" s="78"/>
      <c r="E4" s="78"/>
      <c r="F4" s="78"/>
      <c r="G4" s="78"/>
      <c r="H4" s="78"/>
      <c r="I4" s="78"/>
    </row>
    <row r="5" spans="3:9" x14ac:dyDescent="0.45">
      <c r="C5" s="109" t="s">
        <v>98</v>
      </c>
      <c r="D5" s="110"/>
      <c r="E5" s="111"/>
      <c r="F5" s="112">
        <f>ROUND(Model!L7,0)</f>
        <v>2236</v>
      </c>
      <c r="G5" s="79"/>
      <c r="H5" s="79"/>
      <c r="I5" s="80"/>
    </row>
    <row r="6" spans="3:9" x14ac:dyDescent="0.45">
      <c r="C6" s="103"/>
      <c r="D6" s="104"/>
      <c r="E6" s="105"/>
      <c r="F6" s="113"/>
      <c r="G6" s="81"/>
      <c r="H6" s="81"/>
      <c r="I6" s="82"/>
    </row>
    <row r="7" spans="3:9" x14ac:dyDescent="0.45">
      <c r="C7" s="103" t="s">
        <v>57</v>
      </c>
      <c r="D7" s="104"/>
      <c r="E7" s="105"/>
      <c r="F7" s="113">
        <f>ROUND(SUMPRODUCT(Model!H6:J6,Model!H7:J7),0)</f>
        <v>1120</v>
      </c>
      <c r="G7" s="81"/>
      <c r="H7" s="81"/>
      <c r="I7" s="82"/>
    </row>
    <row r="8" spans="3:9" x14ac:dyDescent="0.45">
      <c r="C8" s="103"/>
      <c r="D8" s="104"/>
      <c r="E8" s="105"/>
      <c r="F8" s="113"/>
      <c r="G8" s="81"/>
      <c r="H8" s="81"/>
      <c r="I8" s="82"/>
    </row>
    <row r="9" spans="3:9" x14ac:dyDescent="0.45">
      <c r="C9" s="103" t="s">
        <v>58</v>
      </c>
      <c r="D9" s="104"/>
      <c r="E9" s="105"/>
      <c r="F9" s="113">
        <f>ROUND(SUMPRODUCT(Model!E6:G6,Model!E7:G7),0)</f>
        <v>1116</v>
      </c>
      <c r="G9" s="81"/>
      <c r="H9" s="81"/>
      <c r="I9" s="82"/>
    </row>
    <row r="10" spans="3:9" x14ac:dyDescent="0.45">
      <c r="C10" s="103"/>
      <c r="D10" s="104"/>
      <c r="E10" s="105"/>
      <c r="F10" s="113"/>
      <c r="G10" s="81"/>
      <c r="H10" s="81"/>
      <c r="I10" s="82"/>
    </row>
    <row r="11" spans="3:9" x14ac:dyDescent="0.45">
      <c r="C11" s="103" t="s">
        <v>99</v>
      </c>
      <c r="D11" s="104"/>
      <c r="E11" s="105"/>
      <c r="F11" s="104">
        <f>Model!K11</f>
        <v>590</v>
      </c>
      <c r="G11" s="81"/>
      <c r="H11" s="81"/>
      <c r="I11" s="82"/>
    </row>
    <row r="12" spans="3:9" x14ac:dyDescent="0.45">
      <c r="C12" s="103"/>
      <c r="D12" s="104"/>
      <c r="E12" s="105"/>
      <c r="F12" s="104"/>
      <c r="G12" s="81"/>
      <c r="H12" s="81"/>
      <c r="I12" s="82"/>
    </row>
    <row r="13" spans="3:9" x14ac:dyDescent="0.45">
      <c r="C13" s="103" t="s">
        <v>100</v>
      </c>
      <c r="D13" s="104"/>
      <c r="E13" s="105"/>
      <c r="F13" s="104">
        <f>Model!K12</f>
        <v>624</v>
      </c>
      <c r="G13" s="81"/>
      <c r="H13" s="81"/>
      <c r="I13" s="82"/>
    </row>
    <row r="14" spans="3:9" x14ac:dyDescent="0.45">
      <c r="C14" s="103"/>
      <c r="D14" s="104"/>
      <c r="E14" s="105"/>
      <c r="F14" s="104"/>
      <c r="G14" s="81"/>
      <c r="H14" s="81"/>
      <c r="I14" s="82"/>
    </row>
    <row r="15" spans="3:9" x14ac:dyDescent="0.45">
      <c r="C15" s="103" t="s">
        <v>108</v>
      </c>
      <c r="D15" s="104"/>
      <c r="E15" s="105"/>
      <c r="F15" s="104">
        <f>Model!E6</f>
        <v>354</v>
      </c>
      <c r="G15" s="81"/>
      <c r="H15" s="81"/>
      <c r="I15" s="82"/>
    </row>
    <row r="16" spans="3:9" x14ac:dyDescent="0.45">
      <c r="C16" s="103"/>
      <c r="D16" s="104"/>
      <c r="E16" s="105"/>
      <c r="F16" s="104"/>
      <c r="G16" s="81"/>
      <c r="H16" s="81"/>
      <c r="I16" s="82"/>
    </row>
    <row r="17" spans="3:9" ht="14.25" customHeight="1" x14ac:dyDescent="0.45">
      <c r="C17" s="103" t="s">
        <v>109</v>
      </c>
      <c r="D17" s="104"/>
      <c r="E17" s="105"/>
      <c r="F17" s="104">
        <f>Model!F6</f>
        <v>184</v>
      </c>
      <c r="G17" s="81"/>
      <c r="H17" s="81"/>
      <c r="I17" s="82"/>
    </row>
    <row r="18" spans="3:9" ht="14.25" customHeight="1" x14ac:dyDescent="0.45">
      <c r="C18" s="103"/>
      <c r="D18" s="104"/>
      <c r="E18" s="105"/>
      <c r="F18" s="104"/>
      <c r="G18" s="81"/>
      <c r="H18" s="81"/>
      <c r="I18" s="82"/>
    </row>
    <row r="19" spans="3:9" ht="14.25" customHeight="1" x14ac:dyDescent="0.45">
      <c r="C19" s="103" t="s">
        <v>110</v>
      </c>
      <c r="D19" s="104"/>
      <c r="E19" s="105"/>
      <c r="F19" s="104">
        <f>Model!G6</f>
        <v>52</v>
      </c>
      <c r="G19" s="81"/>
      <c r="H19" s="81"/>
      <c r="I19" s="82"/>
    </row>
    <row r="20" spans="3:9" ht="14.25" customHeight="1" x14ac:dyDescent="0.45">
      <c r="C20" s="103"/>
      <c r="D20" s="104"/>
      <c r="E20" s="105"/>
      <c r="F20" s="104"/>
      <c r="G20" s="81"/>
      <c r="H20" s="81"/>
      <c r="I20" s="82"/>
    </row>
    <row r="21" spans="3:9" ht="14.25" customHeight="1" x14ac:dyDescent="0.45">
      <c r="C21" s="103" t="s">
        <v>105</v>
      </c>
      <c r="D21" s="104"/>
      <c r="E21" s="105"/>
      <c r="F21" s="103">
        <f>Model!H6</f>
        <v>34</v>
      </c>
      <c r="G21" s="81"/>
      <c r="H21" s="81"/>
      <c r="I21" s="82"/>
    </row>
    <row r="22" spans="3:9" ht="14.25" customHeight="1" x14ac:dyDescent="0.45">
      <c r="C22" s="103"/>
      <c r="D22" s="104"/>
      <c r="E22" s="105"/>
      <c r="F22" s="103"/>
      <c r="G22" s="81"/>
      <c r="H22" s="81"/>
      <c r="I22" s="82"/>
    </row>
    <row r="23" spans="3:9" ht="14.25" customHeight="1" x14ac:dyDescent="0.45">
      <c r="C23" s="103" t="s">
        <v>106</v>
      </c>
      <c r="D23" s="104"/>
      <c r="E23" s="105"/>
      <c r="F23" s="103">
        <f>Model!I6</f>
        <v>354</v>
      </c>
      <c r="G23" s="81"/>
      <c r="H23" s="81"/>
      <c r="I23" s="82"/>
    </row>
    <row r="24" spans="3:9" ht="14.25" customHeight="1" x14ac:dyDescent="0.45">
      <c r="C24" s="103"/>
      <c r="D24" s="104"/>
      <c r="E24" s="105"/>
      <c r="F24" s="103"/>
      <c r="G24" s="81"/>
      <c r="H24" s="81"/>
      <c r="I24" s="82"/>
    </row>
    <row r="25" spans="3:9" ht="14.25" customHeight="1" x14ac:dyDescent="0.45">
      <c r="C25" s="103" t="s">
        <v>107</v>
      </c>
      <c r="D25" s="104"/>
      <c r="E25" s="105"/>
      <c r="F25" s="103">
        <f>Model!J6</f>
        <v>236</v>
      </c>
      <c r="G25" s="81"/>
      <c r="H25" s="81"/>
      <c r="I25" s="82"/>
    </row>
    <row r="26" spans="3:9" ht="14.25" customHeight="1" x14ac:dyDescent="0.45">
      <c r="C26" s="103"/>
      <c r="D26" s="104"/>
      <c r="E26" s="105"/>
      <c r="F26" s="103"/>
      <c r="G26" s="81"/>
      <c r="H26" s="81"/>
      <c r="I26" s="82"/>
    </row>
    <row r="27" spans="3:9" ht="14.25" customHeight="1" x14ac:dyDescent="0.45">
      <c r="C27" s="103" t="s">
        <v>61</v>
      </c>
      <c r="D27" s="104"/>
      <c r="E27" s="105"/>
      <c r="F27" s="104">
        <f>(Model!M11+Model!M12)-(Model!K11+Model!K12)</f>
        <v>62</v>
      </c>
      <c r="G27" s="81"/>
      <c r="H27" s="81"/>
      <c r="I27" s="82"/>
    </row>
    <row r="28" spans="3:9" ht="14.25" customHeight="1" x14ac:dyDescent="0.45">
      <c r="C28" s="103"/>
      <c r="D28" s="104"/>
      <c r="E28" s="105"/>
      <c r="F28" s="104"/>
      <c r="G28" s="81"/>
      <c r="H28" s="81"/>
      <c r="I28" s="82"/>
    </row>
    <row r="29" spans="3:9" x14ac:dyDescent="0.45">
      <c r="C29" s="103" t="s">
        <v>59</v>
      </c>
      <c r="D29" s="104"/>
      <c r="E29" s="105"/>
      <c r="F29" s="104">
        <f>Model!M11-Model!K11</f>
        <v>62</v>
      </c>
      <c r="G29" s="81"/>
      <c r="H29" s="81"/>
      <c r="I29" s="82"/>
    </row>
    <row r="30" spans="3:9" x14ac:dyDescent="0.45">
      <c r="C30" s="103"/>
      <c r="D30" s="104"/>
      <c r="E30" s="105"/>
      <c r="F30" s="104"/>
      <c r="G30" s="81"/>
      <c r="H30" s="81"/>
      <c r="I30" s="82"/>
    </row>
    <row r="31" spans="3:9" x14ac:dyDescent="0.45">
      <c r="C31" s="103" t="s">
        <v>60</v>
      </c>
      <c r="D31" s="104"/>
      <c r="E31" s="105"/>
      <c r="F31" s="104">
        <f>Model!M12-Model!K12</f>
        <v>0</v>
      </c>
      <c r="G31" s="81"/>
      <c r="H31" s="81"/>
      <c r="I31" s="82"/>
    </row>
    <row r="32" spans="3:9" x14ac:dyDescent="0.45">
      <c r="C32" s="103"/>
      <c r="D32" s="104"/>
      <c r="E32" s="105"/>
      <c r="F32" s="104"/>
      <c r="G32" s="81"/>
      <c r="H32" s="81"/>
      <c r="I32" s="82"/>
    </row>
    <row r="33" spans="3:9" x14ac:dyDescent="0.45">
      <c r="C33" s="103" t="s">
        <v>101</v>
      </c>
      <c r="D33" s="104"/>
      <c r="E33" s="105"/>
      <c r="F33" s="104">
        <f>Model!M15-Inputs!I7</f>
        <v>0</v>
      </c>
      <c r="G33" s="81"/>
      <c r="H33" s="81"/>
      <c r="I33" s="82"/>
    </row>
    <row r="34" spans="3:9" x14ac:dyDescent="0.45">
      <c r="C34" s="106"/>
      <c r="D34" s="107"/>
      <c r="E34" s="108"/>
      <c r="F34" s="107"/>
      <c r="G34" s="83"/>
      <c r="H34" s="83"/>
      <c r="I34" s="84"/>
    </row>
  </sheetData>
  <mergeCells count="30">
    <mergeCell ref="C23:E24"/>
    <mergeCell ref="C11:E12"/>
    <mergeCell ref="F11:F12"/>
    <mergeCell ref="F15:F16"/>
    <mergeCell ref="F17:F18"/>
    <mergeCell ref="F19:F20"/>
    <mergeCell ref="C5:E6"/>
    <mergeCell ref="F5:F6"/>
    <mergeCell ref="C13:E14"/>
    <mergeCell ref="C7:E8"/>
    <mergeCell ref="F7:F8"/>
    <mergeCell ref="C9:E10"/>
    <mergeCell ref="F9:F10"/>
    <mergeCell ref="F13:F14"/>
    <mergeCell ref="C33:E34"/>
    <mergeCell ref="F33:F34"/>
    <mergeCell ref="C15:E16"/>
    <mergeCell ref="C17:E18"/>
    <mergeCell ref="C19:E20"/>
    <mergeCell ref="C27:E28"/>
    <mergeCell ref="C29:E30"/>
    <mergeCell ref="C31:E32"/>
    <mergeCell ref="F31:F32"/>
    <mergeCell ref="F27:F28"/>
    <mergeCell ref="F29:F30"/>
    <mergeCell ref="F21:F22"/>
    <mergeCell ref="F25:F26"/>
    <mergeCell ref="F23:F24"/>
    <mergeCell ref="C21:E22"/>
    <mergeCell ref="C25:E2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GoTo_Input">
                <anchor>
                  <from>
                    <xdr:col>6</xdr:col>
                    <xdr:colOff>0</xdr:colOff>
                    <xdr:row>8</xdr:row>
                    <xdr:rowOff>157163</xdr:rowOff>
                  </from>
                  <to>
                    <xdr:col>8</xdr:col>
                    <xdr:colOff>157163</xdr:colOff>
                    <xdr:row>12</xdr:row>
                    <xdr:rowOff>152400</xdr:rowOff>
                  </to>
                </anchor>
              </controlPr>
            </control>
          </mc:Choice>
        </mc:AlternateContent>
        <mc:AlternateContent xmlns:mc="http://schemas.openxmlformats.org/markup-compatibility/2006">
          <mc:Choice Requires="x14">
            <control shapeId="7175" r:id="rId4" name="Button 7">
              <controlPr defaultSize="0" print="0" autoFill="0" autoPict="0" macro="[0]!GoTo_Model_from_output">
                <anchor>
                  <from>
                    <xdr:col>6</xdr:col>
                    <xdr:colOff>0</xdr:colOff>
                    <xdr:row>20</xdr:row>
                    <xdr:rowOff>52388</xdr:rowOff>
                  </from>
                  <to>
                    <xdr:col>8</xdr:col>
                    <xdr:colOff>190500</xdr:colOff>
                    <xdr:row>24</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1B455-56A2-429E-9223-D9CFA0CD4FEE}">
  <sheetPr codeName="Sheet5"/>
  <dimension ref="A2:H42"/>
  <sheetViews>
    <sheetView tabSelected="1" workbookViewId="0">
      <selection activeCell="D7" sqref="D7"/>
    </sheetView>
  </sheetViews>
  <sheetFormatPr defaultRowHeight="14.25" x14ac:dyDescent="0.45"/>
  <cols>
    <col min="2" max="2" width="10.19921875" customWidth="1"/>
    <col min="3" max="3" width="12.796875" bestFit="1" customWidth="1"/>
    <col min="4" max="4" width="9.53125" customWidth="1"/>
    <col min="5" max="5" width="16.1328125" customWidth="1"/>
    <col min="6" max="6" width="16.1328125" bestFit="1" customWidth="1"/>
  </cols>
  <sheetData>
    <row r="2" spans="1:8" ht="43.5" customHeight="1" x14ac:dyDescent="0.45">
      <c r="B2" s="114" t="s">
        <v>104</v>
      </c>
      <c r="C2" s="115"/>
      <c r="D2" s="60"/>
      <c r="E2" s="61" t="s">
        <v>96</v>
      </c>
      <c r="F2" s="65" t="s">
        <v>97</v>
      </c>
    </row>
    <row r="3" spans="1:8" x14ac:dyDescent="0.45">
      <c r="B3" s="116">
        <f>(COUNTIF(C7:C42,"No")/COUNTIF(C7:C42,"*"))*100</f>
        <v>50</v>
      </c>
      <c r="C3" s="117"/>
      <c r="D3" s="63" t="s">
        <v>95</v>
      </c>
      <c r="E3" s="64">
        <f>ROUND(SUM(E7:E42),0)</f>
        <v>1447</v>
      </c>
      <c r="F3" s="62">
        <f>ROUND(SUM(F7:F42),0)</f>
        <v>1369</v>
      </c>
    </row>
    <row r="6" spans="1:8" ht="31.9" customHeight="1" x14ac:dyDescent="0.45">
      <c r="A6" t="str" cm="1">
        <f t="array" ref="A6:A42">Data!A2:'Data'!A38</f>
        <v>year</v>
      </c>
      <c r="B6" t="str" cm="1">
        <f t="array" ref="B6:B42">Data!B2:'Data'!B38</f>
        <v>month</v>
      </c>
      <c r="C6" s="27" t="s">
        <v>91</v>
      </c>
      <c r="D6" s="27" t="s">
        <v>90</v>
      </c>
      <c r="E6" s="27" t="s">
        <v>92</v>
      </c>
      <c r="F6" s="27" t="s">
        <v>93</v>
      </c>
    </row>
    <row r="7" spans="1:8" x14ac:dyDescent="0.45">
      <c r="A7">
        <v>2019</v>
      </c>
      <c r="B7">
        <v>1</v>
      </c>
      <c r="C7" t="str">
        <f>IF(Data!C3+Data!D3&gt;Data!E3+Data!F3+Data!G3, "Yes", "No")</f>
        <v>Yes</v>
      </c>
      <c r="D7">
        <f>IF(C7="Yes",0,((Data!E3+Data!F3+Data!G3)-(Data!C3+Data!D3)))</f>
        <v>0</v>
      </c>
      <c r="E7" s="29">
        <f>D7*Inputs!$S$6</f>
        <v>0</v>
      </c>
      <c r="F7" s="29">
        <f>D7*Inputs!$S$7</f>
        <v>0</v>
      </c>
    </row>
    <row r="8" spans="1:8" x14ac:dyDescent="0.45">
      <c r="A8">
        <v>2019</v>
      </c>
      <c r="B8">
        <v>2</v>
      </c>
      <c r="C8" t="str">
        <f>IF(Data!C4+Data!D4&gt;Data!E4+Data!F4+Data!G4, "Yes", "No")</f>
        <v>Yes</v>
      </c>
      <c r="D8">
        <f>IF(C8="Yes",0,((Data!E4+Data!F4+Data!G4)-(Data!C4+Data!D4)))</f>
        <v>0</v>
      </c>
      <c r="E8" s="29">
        <f>D8*Inputs!$S$6</f>
        <v>0</v>
      </c>
      <c r="F8" s="29">
        <f>D8*Inputs!$S$7</f>
        <v>0</v>
      </c>
    </row>
    <row r="9" spans="1:8" x14ac:dyDescent="0.45">
      <c r="A9">
        <v>2019</v>
      </c>
      <c r="B9">
        <v>3</v>
      </c>
      <c r="C9" t="str">
        <f>IF(Data!C5+Data!D5&gt;Data!E5+Data!F5+Data!G5, "Yes", "No")</f>
        <v>Yes</v>
      </c>
      <c r="D9">
        <f>IF(C9="Yes",0,((Data!E5+Data!F5+Data!G5)-(Data!C5+Data!D5)))</f>
        <v>0</v>
      </c>
      <c r="E9" s="29">
        <f>D9*Inputs!$S$6</f>
        <v>0</v>
      </c>
      <c r="F9" s="29">
        <f>D9*Inputs!$S$7</f>
        <v>0</v>
      </c>
    </row>
    <row r="10" spans="1:8" x14ac:dyDescent="0.45">
      <c r="A10">
        <v>2019</v>
      </c>
      <c r="B10">
        <v>4</v>
      </c>
      <c r="C10" t="str">
        <f>IF(Data!C6+Data!D6&gt;Data!E6+Data!F6+Data!G6, "Yes", "No")</f>
        <v>Yes</v>
      </c>
      <c r="D10">
        <f>IF(C10="Yes",0,((Data!E6+Data!F6+Data!G6)-(Data!C6+Data!D6)))</f>
        <v>0</v>
      </c>
      <c r="E10" s="29">
        <f>D10*Inputs!$S$6</f>
        <v>0</v>
      </c>
      <c r="F10" s="29">
        <f>D10*Inputs!$S$7</f>
        <v>0</v>
      </c>
    </row>
    <row r="11" spans="1:8" x14ac:dyDescent="0.45">
      <c r="A11">
        <v>2019</v>
      </c>
      <c r="B11">
        <v>5</v>
      </c>
      <c r="C11" t="str">
        <f>IF(Data!C7+Data!D7&gt;Data!E7+Data!F7+Data!G7, "Yes", "No")</f>
        <v>Yes</v>
      </c>
      <c r="D11">
        <f>IF(C11="Yes",0,((Data!E7+Data!F7+Data!G7)-(Data!C7+Data!D7)))</f>
        <v>0</v>
      </c>
      <c r="E11" s="29">
        <f>D11*Inputs!$S$6</f>
        <v>0</v>
      </c>
      <c r="F11" s="29">
        <f>D11*Inputs!$S$7</f>
        <v>0</v>
      </c>
    </row>
    <row r="12" spans="1:8" x14ac:dyDescent="0.45">
      <c r="A12">
        <v>2019</v>
      </c>
      <c r="B12">
        <v>6</v>
      </c>
      <c r="C12" t="str">
        <f>IF(Data!C8+Data!D8&gt;Data!E8+Data!F8+Data!G8, "Yes", "No")</f>
        <v>Yes</v>
      </c>
      <c r="D12">
        <f>IF(C12="Yes",0,((Data!E8+Data!F8+Data!G8)-(Data!C8+Data!D8)))</f>
        <v>0</v>
      </c>
      <c r="E12" s="29">
        <f>D12*Inputs!$S$6</f>
        <v>0</v>
      </c>
      <c r="F12" s="29">
        <f>D12*Inputs!$S$7</f>
        <v>0</v>
      </c>
    </row>
    <row r="13" spans="1:8" x14ac:dyDescent="0.45">
      <c r="A13">
        <v>2019</v>
      </c>
      <c r="B13">
        <v>7</v>
      </c>
      <c r="C13" t="str">
        <f>IF(Data!C9+Data!D9&gt;Data!E9+Data!F9+Data!G9, "Yes", "No")</f>
        <v>Yes</v>
      </c>
      <c r="D13">
        <f>IF(C13="Yes",0,((Data!E9+Data!F9+Data!G9)-(Data!C9+Data!D9)))</f>
        <v>0</v>
      </c>
      <c r="E13" s="29">
        <f>D13*Inputs!$S$6</f>
        <v>0</v>
      </c>
      <c r="F13" s="29">
        <f>D13*Inputs!$S$7</f>
        <v>0</v>
      </c>
    </row>
    <row r="14" spans="1:8" x14ac:dyDescent="0.45">
      <c r="A14">
        <v>2019</v>
      </c>
      <c r="B14">
        <v>8</v>
      </c>
      <c r="C14" t="str">
        <f>IF(Data!C10+Data!D10&gt;Data!E10+Data!F10+Data!G10, "Yes", "No")</f>
        <v>Yes</v>
      </c>
      <c r="D14">
        <f>IF(C14="Yes",0,((Data!E10+Data!F10+Data!G10)-(Data!C10+Data!D10)))</f>
        <v>0</v>
      </c>
      <c r="E14" s="29">
        <f>D14*Inputs!$S$6</f>
        <v>0</v>
      </c>
      <c r="F14" s="29">
        <f>D14*Inputs!$S$7</f>
        <v>0</v>
      </c>
    </row>
    <row r="15" spans="1:8" x14ac:dyDescent="0.45">
      <c r="A15">
        <v>2019</v>
      </c>
      <c r="B15">
        <v>9</v>
      </c>
      <c r="C15" t="str">
        <f>IF(Data!C11+Data!D11&gt;Data!E11+Data!F11+Data!G11, "Yes", "No")</f>
        <v>Yes</v>
      </c>
      <c r="D15">
        <f>IF(C15="Yes",0,((Data!E11+Data!F11+Data!G11)-(Data!C11+Data!D11)))</f>
        <v>0</v>
      </c>
      <c r="E15" s="29">
        <f>D15*Inputs!$S$6</f>
        <v>0</v>
      </c>
      <c r="F15" s="29">
        <f>D15*Inputs!$S$7</f>
        <v>0</v>
      </c>
    </row>
    <row r="16" spans="1:8" x14ac:dyDescent="0.45">
      <c r="A16">
        <v>2019</v>
      </c>
      <c r="B16">
        <v>10</v>
      </c>
      <c r="C16" t="str">
        <f>IF(Data!C12+Data!D12&gt;Data!E12+Data!F12+Data!G12, "Yes", "No")</f>
        <v>Yes</v>
      </c>
      <c r="D16">
        <f>IF(C16="Yes",0,((Data!E12+Data!F12+Data!G12)-(Data!C12+Data!D12)))</f>
        <v>0</v>
      </c>
      <c r="E16" s="29">
        <f>D16*Inputs!$S$6</f>
        <v>0</v>
      </c>
      <c r="F16" s="29">
        <f>D16*Inputs!$S$7</f>
        <v>0</v>
      </c>
      <c r="H16" s="27"/>
    </row>
    <row r="17" spans="1:6" x14ac:dyDescent="0.45">
      <c r="A17">
        <v>2019</v>
      </c>
      <c r="B17">
        <v>11</v>
      </c>
      <c r="C17" t="str">
        <f>IF(Data!C13+Data!D13&gt;Data!E13+Data!F13+Data!G13, "Yes", "No")</f>
        <v>Yes</v>
      </c>
      <c r="D17">
        <f>IF(C17="Yes",0,((Data!E13+Data!F13+Data!G13)-(Data!C13+Data!D13)))</f>
        <v>0</v>
      </c>
      <c r="E17" s="29">
        <f>D17*Inputs!$S$6</f>
        <v>0</v>
      </c>
      <c r="F17" s="29">
        <f>D17*Inputs!$S$7</f>
        <v>0</v>
      </c>
    </row>
    <row r="18" spans="1:6" x14ac:dyDescent="0.45">
      <c r="A18">
        <v>2019</v>
      </c>
      <c r="B18">
        <v>12</v>
      </c>
      <c r="C18" t="str">
        <f>IF(Data!C14+Data!D14&gt;Data!E14+Data!F14+Data!G14, "Yes", "No")</f>
        <v>Yes</v>
      </c>
      <c r="D18">
        <f>IF(C18="Yes",0,((Data!E14+Data!F14+Data!G14)-(Data!C14+Data!D14)))</f>
        <v>0</v>
      </c>
      <c r="E18" s="29">
        <f>D18*Inputs!$S$6</f>
        <v>0</v>
      </c>
      <c r="F18" s="29">
        <f>D18*Inputs!$S$7</f>
        <v>0</v>
      </c>
    </row>
    <row r="19" spans="1:6" x14ac:dyDescent="0.45">
      <c r="A19">
        <v>2020</v>
      </c>
      <c r="B19">
        <v>1</v>
      </c>
      <c r="C19" t="str">
        <f>IF(Data!C15+Data!D15&gt;Data!E15+Data!F15+Data!G15, "Yes", "No")</f>
        <v>Yes</v>
      </c>
      <c r="D19">
        <f>IF(C19="Yes",0,((Data!E15+Data!F15+Data!G15)-(Data!C15+Data!D15)))</f>
        <v>0</v>
      </c>
      <c r="E19" s="29">
        <f>D19*Inputs!$S$6</f>
        <v>0</v>
      </c>
      <c r="F19" s="29">
        <f>D19*Inputs!$S$7</f>
        <v>0</v>
      </c>
    </row>
    <row r="20" spans="1:6" x14ac:dyDescent="0.45">
      <c r="A20">
        <v>2020</v>
      </c>
      <c r="B20">
        <v>2</v>
      </c>
      <c r="C20" t="str">
        <f>IF(Data!C16+Data!D16&gt;Data!E16+Data!F16+Data!G16, "Yes", "No")</f>
        <v>Yes</v>
      </c>
      <c r="D20">
        <f>IF(C20="Yes",0,((Data!E16+Data!F16+Data!G16)-(Data!C16+Data!D16)))</f>
        <v>0</v>
      </c>
      <c r="E20" s="29">
        <f>D20*Inputs!$S$6</f>
        <v>0</v>
      </c>
      <c r="F20" s="29">
        <f>D20*Inputs!$S$7</f>
        <v>0</v>
      </c>
    </row>
    <row r="21" spans="1:6" x14ac:dyDescent="0.45">
      <c r="A21">
        <v>2020</v>
      </c>
      <c r="B21">
        <v>3</v>
      </c>
      <c r="C21" t="str">
        <f>IF(Data!C17+Data!D17&gt;Data!E17+Data!F17+Data!G17, "Yes", "No")</f>
        <v>Yes</v>
      </c>
      <c r="D21">
        <f>IF(C21="Yes",0,((Data!E17+Data!F17+Data!G17)-(Data!C17+Data!D17)))</f>
        <v>0</v>
      </c>
      <c r="E21" s="29">
        <f>D21*Inputs!$S$6</f>
        <v>0</v>
      </c>
      <c r="F21" s="29">
        <f>D21*Inputs!$S$7</f>
        <v>0</v>
      </c>
    </row>
    <row r="22" spans="1:6" x14ac:dyDescent="0.45">
      <c r="A22">
        <v>2020</v>
      </c>
      <c r="B22">
        <v>4</v>
      </c>
      <c r="C22" t="str">
        <f>IF(Data!C18+Data!D18&gt;Data!E18+Data!F18+Data!G18, "Yes", "No")</f>
        <v>Yes</v>
      </c>
      <c r="D22">
        <f>IF(C22="Yes",0,((Data!E18+Data!F18+Data!G18)-(Data!C18+Data!D18)))</f>
        <v>0</v>
      </c>
      <c r="E22" s="29">
        <f>D22*Inputs!$S$6</f>
        <v>0</v>
      </c>
      <c r="F22" s="29">
        <f>D22*Inputs!$S$7</f>
        <v>0</v>
      </c>
    </row>
    <row r="23" spans="1:6" x14ac:dyDescent="0.45">
      <c r="A23">
        <v>2020</v>
      </c>
      <c r="B23">
        <v>5</v>
      </c>
      <c r="C23" t="str">
        <f>IF(Data!C19+Data!D19&gt;Data!E19+Data!F19+Data!G19, "Yes", "No")</f>
        <v>Yes</v>
      </c>
      <c r="D23">
        <f>IF(C23="Yes",0,((Data!E19+Data!F19+Data!G19)-(Data!C19+Data!D19)))</f>
        <v>0</v>
      </c>
      <c r="E23" s="29">
        <f>D23*Inputs!$S$6</f>
        <v>0</v>
      </c>
      <c r="F23" s="29">
        <f>D23*Inputs!$S$7</f>
        <v>0</v>
      </c>
    </row>
    <row r="24" spans="1:6" x14ac:dyDescent="0.45">
      <c r="A24">
        <v>2020</v>
      </c>
      <c r="B24">
        <v>6</v>
      </c>
      <c r="C24" t="str">
        <f>IF(Data!C20+Data!D20&gt;Data!E20+Data!F20+Data!G20, "Yes", "No")</f>
        <v>Yes</v>
      </c>
      <c r="D24">
        <f>IF(C24="Yes",0,((Data!E20+Data!F20+Data!G20)-(Data!C20+Data!D20)))</f>
        <v>0</v>
      </c>
      <c r="E24" s="29">
        <f>D24*Inputs!$S$6</f>
        <v>0</v>
      </c>
      <c r="F24" s="29">
        <f>D24*Inputs!$S$7</f>
        <v>0</v>
      </c>
    </row>
    <row r="25" spans="1:6" x14ac:dyDescent="0.45">
      <c r="A25">
        <v>2020</v>
      </c>
      <c r="B25">
        <v>7</v>
      </c>
      <c r="C25" t="str">
        <f>IF(Data!C21+Data!D21&gt;Data!E21+Data!F21+Data!G21, "Yes", "No")</f>
        <v>No</v>
      </c>
      <c r="D25">
        <f>IF(C25="Yes",0,((Data!E21+Data!F21+Data!G21)-(Data!C21+Data!D21)))</f>
        <v>2</v>
      </c>
      <c r="E25" s="29">
        <f>D25*Inputs!$S$6</f>
        <v>3.7</v>
      </c>
      <c r="F25" s="29">
        <f>D25*Inputs!$S$7</f>
        <v>3.5</v>
      </c>
    </row>
    <row r="26" spans="1:6" x14ac:dyDescent="0.45">
      <c r="A26">
        <v>2020</v>
      </c>
      <c r="B26">
        <v>8</v>
      </c>
      <c r="C26" t="str">
        <f>IF(Data!C22+Data!D22&gt;Data!E22+Data!F22+Data!G22, "Yes", "No")</f>
        <v>No</v>
      </c>
      <c r="D26">
        <f>IF(C26="Yes",0,((Data!E22+Data!F22+Data!G22)-(Data!C22+Data!D22)))</f>
        <v>2</v>
      </c>
      <c r="E26" s="29">
        <f>D26*Inputs!$S$6</f>
        <v>3.7</v>
      </c>
      <c r="F26" s="29">
        <f>D26*Inputs!$S$7</f>
        <v>3.5</v>
      </c>
    </row>
    <row r="27" spans="1:6" x14ac:dyDescent="0.45">
      <c r="A27">
        <v>2020</v>
      </c>
      <c r="B27">
        <v>9</v>
      </c>
      <c r="C27" t="str">
        <f>IF(Data!C23+Data!D23&gt;Data!E23+Data!F23+Data!G23, "Yes", "No")</f>
        <v>No</v>
      </c>
      <c r="D27">
        <f>IF(C27="Yes",0,((Data!E23+Data!F23+Data!G23)-(Data!C23+Data!D23)))</f>
        <v>2</v>
      </c>
      <c r="E27" s="29">
        <f>D27*Inputs!$S$6</f>
        <v>3.7</v>
      </c>
      <c r="F27" s="29">
        <f>D27*Inputs!$S$7</f>
        <v>3.5</v>
      </c>
    </row>
    <row r="28" spans="1:6" x14ac:dyDescent="0.45">
      <c r="A28">
        <v>2020</v>
      </c>
      <c r="B28">
        <v>10</v>
      </c>
      <c r="C28" t="str">
        <f>IF(Data!C24+Data!D24&gt;Data!E24+Data!F24+Data!G24, "Yes", "No")</f>
        <v>No</v>
      </c>
      <c r="D28">
        <f>IF(C28="Yes",0,((Data!E24+Data!F24+Data!G24)-(Data!C24+Data!D24)))</f>
        <v>2</v>
      </c>
      <c r="E28" s="29">
        <f>D28*Inputs!$S$6</f>
        <v>3.7</v>
      </c>
      <c r="F28" s="29">
        <f>D28*Inputs!$S$7</f>
        <v>3.5</v>
      </c>
    </row>
    <row r="29" spans="1:6" x14ac:dyDescent="0.45">
      <c r="A29">
        <v>2020</v>
      </c>
      <c r="B29">
        <v>11</v>
      </c>
      <c r="C29" t="str">
        <f>IF(Data!C25+Data!D25&gt;Data!E25+Data!F25+Data!G25, "Yes", "No")</f>
        <v>No</v>
      </c>
      <c r="D29">
        <f>IF(C29="Yes",0,((Data!E25+Data!F25+Data!G25)-(Data!C25+Data!D25)))</f>
        <v>2</v>
      </c>
      <c r="E29" s="29">
        <f>D29*Inputs!$S$6</f>
        <v>3.7</v>
      </c>
      <c r="F29" s="29">
        <f>D29*Inputs!$S$7</f>
        <v>3.5</v>
      </c>
    </row>
    <row r="30" spans="1:6" x14ac:dyDescent="0.45">
      <c r="A30">
        <v>2020</v>
      </c>
      <c r="B30">
        <v>12</v>
      </c>
      <c r="C30" t="str">
        <f>IF(Data!C26+Data!D26&gt;Data!E26+Data!F26+Data!G26, "Yes", "No")</f>
        <v>No</v>
      </c>
      <c r="D30">
        <f>IF(C30="Yes",0,((Data!E26+Data!F26+Data!G26)-(Data!C26+Data!D26)))</f>
        <v>2</v>
      </c>
      <c r="E30" s="29">
        <f>D30*Inputs!$S$6</f>
        <v>3.7</v>
      </c>
      <c r="F30" s="29">
        <f>D30*Inputs!$S$7</f>
        <v>3.5</v>
      </c>
    </row>
    <row r="31" spans="1:6" x14ac:dyDescent="0.45">
      <c r="A31">
        <v>2021</v>
      </c>
      <c r="B31">
        <v>1</v>
      </c>
      <c r="C31" t="str">
        <f>IF(Data!C27+Data!D27&gt;Data!E27+Data!F27+Data!G27, "Yes", "No")</f>
        <v>No</v>
      </c>
      <c r="D31">
        <f>IF(C31="Yes",0,((Data!E27+Data!F27+Data!G27)-(Data!C27+Data!D27)))</f>
        <v>60</v>
      </c>
      <c r="E31" s="29">
        <f>D31*Inputs!$S$6</f>
        <v>111</v>
      </c>
      <c r="F31" s="29">
        <f>D31*Inputs!$S$7</f>
        <v>105</v>
      </c>
    </row>
    <row r="32" spans="1:6" x14ac:dyDescent="0.45">
      <c r="A32">
        <v>2021</v>
      </c>
      <c r="B32">
        <v>2</v>
      </c>
      <c r="C32" t="str">
        <f>IF(Data!C28+Data!D28&gt;Data!E28+Data!F28+Data!G28, "Yes", "No")</f>
        <v>No</v>
      </c>
      <c r="D32">
        <f>IF(C32="Yes",0,((Data!E28+Data!F28+Data!G28)-(Data!C28+Data!D28)))</f>
        <v>60</v>
      </c>
      <c r="E32" s="29">
        <f>D32*Inputs!$S$6</f>
        <v>111</v>
      </c>
      <c r="F32" s="29">
        <f>D32*Inputs!$S$7</f>
        <v>105</v>
      </c>
    </row>
    <row r="33" spans="1:6" x14ac:dyDescent="0.45">
      <c r="A33">
        <v>2021</v>
      </c>
      <c r="B33">
        <v>3</v>
      </c>
      <c r="C33" t="str">
        <f>IF(Data!C29+Data!D29&gt;Data!E29+Data!F29+Data!G29, "Yes", "No")</f>
        <v>No</v>
      </c>
      <c r="D33">
        <f>IF(C33="Yes",0,((Data!E29+Data!F29+Data!G29)-(Data!C29+Data!D29)))</f>
        <v>60</v>
      </c>
      <c r="E33" s="29">
        <f>D33*Inputs!$S$6</f>
        <v>111</v>
      </c>
      <c r="F33" s="29">
        <f>D33*Inputs!$S$7</f>
        <v>105</v>
      </c>
    </row>
    <row r="34" spans="1:6" x14ac:dyDescent="0.45">
      <c r="A34">
        <v>2021</v>
      </c>
      <c r="B34">
        <v>4</v>
      </c>
      <c r="C34" t="str">
        <f>IF(Data!C30+Data!D30&gt;Data!E30+Data!F30+Data!G30, "Yes", "No")</f>
        <v>No</v>
      </c>
      <c r="D34">
        <f>IF(C34="Yes",0,((Data!E30+Data!F30+Data!G30)-(Data!C30+Data!D30)))</f>
        <v>60</v>
      </c>
      <c r="E34" s="29">
        <f>D34*Inputs!$S$6</f>
        <v>111</v>
      </c>
      <c r="F34" s="29">
        <f>D34*Inputs!$S$7</f>
        <v>105</v>
      </c>
    </row>
    <row r="35" spans="1:6" x14ac:dyDescent="0.45">
      <c r="A35">
        <v>2021</v>
      </c>
      <c r="B35">
        <v>5</v>
      </c>
      <c r="C35" t="str">
        <f>IF(Data!C31+Data!D31&gt;Data!E31+Data!F31+Data!G31, "Yes", "No")</f>
        <v>No</v>
      </c>
      <c r="D35">
        <f>IF(C35="Yes",0,((Data!E31+Data!F31+Data!G31)-(Data!C31+Data!D31)))</f>
        <v>60</v>
      </c>
      <c r="E35" s="29">
        <f>D35*Inputs!$S$6</f>
        <v>111</v>
      </c>
      <c r="F35" s="29">
        <f>D35*Inputs!$S$7</f>
        <v>105</v>
      </c>
    </row>
    <row r="36" spans="1:6" x14ac:dyDescent="0.45">
      <c r="A36">
        <v>2021</v>
      </c>
      <c r="B36">
        <v>6</v>
      </c>
      <c r="C36" t="str">
        <f>IF(Data!C32+Data!D32&gt;Data!E32+Data!F32+Data!G32, "Yes", "No")</f>
        <v>No</v>
      </c>
      <c r="D36">
        <f>IF(C36="Yes",0,((Data!E32+Data!F32+Data!G32)-(Data!C32+Data!D32)))</f>
        <v>60</v>
      </c>
      <c r="E36" s="29">
        <f>D36*Inputs!$S$6</f>
        <v>111</v>
      </c>
      <c r="F36" s="29">
        <f>D36*Inputs!$S$7</f>
        <v>105</v>
      </c>
    </row>
    <row r="37" spans="1:6" x14ac:dyDescent="0.45">
      <c r="A37">
        <v>2021</v>
      </c>
      <c r="B37">
        <v>7</v>
      </c>
      <c r="C37" t="str">
        <f>IF(Data!C33+Data!D33&gt;Data!E33+Data!F33+Data!G33, "Yes", "No")</f>
        <v>No</v>
      </c>
      <c r="D37">
        <f>IF(C37="Yes",0,((Data!E33+Data!F33+Data!G33)-(Data!C33+Data!D33)))</f>
        <v>60</v>
      </c>
      <c r="E37" s="29">
        <f>D37*Inputs!$S$6</f>
        <v>111</v>
      </c>
      <c r="F37" s="29">
        <f>D37*Inputs!$S$7</f>
        <v>105</v>
      </c>
    </row>
    <row r="38" spans="1:6" x14ac:dyDescent="0.45">
      <c r="A38">
        <v>2021</v>
      </c>
      <c r="B38">
        <v>8</v>
      </c>
      <c r="C38" t="str">
        <f>IF(Data!C34+Data!D34&gt;Data!E34+Data!F34+Data!G34, "Yes", "No")</f>
        <v>No</v>
      </c>
      <c r="D38">
        <f>IF(C38="Yes",0,((Data!E34+Data!F34+Data!G34)-(Data!C34+Data!D34)))</f>
        <v>70</v>
      </c>
      <c r="E38" s="29">
        <f>D38*Inputs!$S$6</f>
        <v>129.5</v>
      </c>
      <c r="F38" s="29">
        <f>D38*Inputs!$S$7</f>
        <v>122.5</v>
      </c>
    </row>
    <row r="39" spans="1:6" x14ac:dyDescent="0.45">
      <c r="A39">
        <v>2021</v>
      </c>
      <c r="B39">
        <v>9</v>
      </c>
      <c r="C39" t="str">
        <f>IF(Data!C35+Data!D35&gt;Data!E35+Data!F35+Data!G35, "Yes", "No")</f>
        <v>No</v>
      </c>
      <c r="D39">
        <f>IF(C39="Yes",0,((Data!E35+Data!F35+Data!G35)-(Data!C35+Data!D35)))</f>
        <v>70</v>
      </c>
      <c r="E39" s="29">
        <f>D39*Inputs!$S$6</f>
        <v>129.5</v>
      </c>
      <c r="F39" s="29">
        <f>D39*Inputs!$S$7</f>
        <v>122.5</v>
      </c>
    </row>
    <row r="40" spans="1:6" x14ac:dyDescent="0.45">
      <c r="A40">
        <v>2021</v>
      </c>
      <c r="B40">
        <v>10</v>
      </c>
      <c r="C40" t="str">
        <f>IF(Data!C36+Data!D36&gt;Data!E36+Data!F36+Data!G36, "Yes", "No")</f>
        <v>No</v>
      </c>
      <c r="D40">
        <f>IF(C40="Yes",0,((Data!E36+Data!F36+Data!G36)-(Data!C36+Data!D36)))</f>
        <v>70</v>
      </c>
      <c r="E40" s="29">
        <f>D40*Inputs!$S$6</f>
        <v>129.5</v>
      </c>
      <c r="F40" s="29">
        <f>D40*Inputs!$S$7</f>
        <v>122.5</v>
      </c>
    </row>
    <row r="41" spans="1:6" x14ac:dyDescent="0.45">
      <c r="A41">
        <v>2021</v>
      </c>
      <c r="B41">
        <v>11</v>
      </c>
      <c r="C41" t="str">
        <f>IF(Data!C37+Data!D37&gt;Data!E37+Data!F37+Data!G37, "Yes", "No")</f>
        <v>No</v>
      </c>
      <c r="D41">
        <f>IF(C41="Yes",0,((Data!E37+Data!F37+Data!G37)-(Data!C37+Data!D37)))</f>
        <v>70</v>
      </c>
      <c r="E41" s="29">
        <f>D41*Inputs!$S$6</f>
        <v>129.5</v>
      </c>
      <c r="F41" s="29">
        <f>D41*Inputs!$S$7</f>
        <v>122.5</v>
      </c>
    </row>
    <row r="42" spans="1:6" x14ac:dyDescent="0.45">
      <c r="A42">
        <v>2021</v>
      </c>
      <c r="B42">
        <v>12</v>
      </c>
      <c r="C42" t="str">
        <f>IF(Data!C38+Data!D38&gt;Data!E38+Data!F38+Data!G38, "Yes", "No")</f>
        <v>No</v>
      </c>
      <c r="D42">
        <f>IF(C42="Yes",0,((Data!E38+Data!F38+Data!G38)-(Data!C38+Data!D38)))</f>
        <v>70</v>
      </c>
      <c r="E42" s="29">
        <f>D42*Inputs!$S$6</f>
        <v>129.5</v>
      </c>
      <c r="F42" s="29">
        <f>D42*Inputs!$S$7</f>
        <v>122.5</v>
      </c>
    </row>
  </sheetData>
  <mergeCells count="2">
    <mergeCell ref="B2:C2"/>
    <mergeCell ref="B3:C3"/>
  </mergeCells>
  <conditionalFormatting sqref="C7:C42">
    <cfRule type="cellIs" dxfId="1" priority="1" operator="equal">
      <formula>"Yes"</formula>
    </cfRule>
    <cfRule type="cellIs" dxfId="0" priority="2" operator="equal">
      <formula>"No"</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User</vt:lpstr>
      <vt:lpstr>Data</vt:lpstr>
      <vt:lpstr>Inputs</vt:lpstr>
      <vt:lpstr>Model</vt:lpstr>
      <vt:lpstr>Outputs</vt:lpstr>
      <vt:lpstr>Calc</vt:lpstr>
    </vt:vector>
  </TitlesOfParts>
  <Company>Lancaster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Hindle, Adam</dc:creator>
  <cp:lastModifiedBy>Apoorva</cp:lastModifiedBy>
  <dcterms:created xsi:type="dcterms:W3CDTF">2022-11-02T19:22:31Z</dcterms:created>
  <dcterms:modified xsi:type="dcterms:W3CDTF">2023-01-20T23:43:22Z</dcterms:modified>
</cp:coreProperties>
</file>